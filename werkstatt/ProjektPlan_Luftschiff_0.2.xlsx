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ckblatt" sheetId="1" state="visible" r:id="rId1"/>
    <sheet xmlns:r="http://schemas.openxmlformats.org/officeDocument/2006/relationships" name="Ziele" sheetId="2" state="visible" r:id="rId2"/>
    <sheet xmlns:r="http://schemas.openxmlformats.org/officeDocument/2006/relationships" name="Fahrplan" sheetId="3" state="visible" r:id="rId3"/>
    <sheet xmlns:r="http://schemas.openxmlformats.org/officeDocument/2006/relationships" name="Anforderungen" sheetId="4" state="visible" r:id="rId4"/>
    <sheet xmlns:r="http://schemas.openxmlformats.org/officeDocument/2006/relationships" name="Parameter" sheetId="5" state="visible" r:id="rId5"/>
    <sheet xmlns:r="http://schemas.openxmlformats.org/officeDocument/2006/relationships" name="Modelle" sheetId="6" state="visible" r:id="rId6"/>
    <sheet xmlns:r="http://schemas.openxmlformats.org/officeDocument/2006/relationships" name="Schnittstellen" sheetId="7" state="visible" r:id="rId7"/>
    <sheet xmlns:r="http://schemas.openxmlformats.org/officeDocument/2006/relationships" name="Risiken" sheetId="8" state="visible" r:id="rId8"/>
    <sheet xmlns:r="http://schemas.openxmlformats.org/officeDocument/2006/relationships" name="Tests" sheetId="9" state="visible" r:id="rId9"/>
    <sheet xmlns:r="http://schemas.openxmlformats.org/officeDocument/2006/relationships" name="Offene_Punkte" sheetId="10" state="visible" r:id="rId10"/>
    <sheet xmlns:r="http://schemas.openxmlformats.org/officeDocument/2006/relationships" name="Glossar" sheetId="11" state="visible" r:id="rId11"/>
    <sheet xmlns:r="http://schemas.openxmlformats.org/officeDocument/2006/relationships" name="Änderungen" sheetId="12" state="visible" r:id="rId12"/>
  </sheets>
  <definedNames>
    <definedName name="_xlnm._FilterDatabase" localSheetId="1" hidden="1">'Ziele'!$A$3:$D$12</definedName>
    <definedName name="_xlnm._FilterDatabase" localSheetId="2" hidden="1">'Fahrplan'!$A$3:$G$11</definedName>
    <definedName name="_xlnm._FilterDatabase" localSheetId="3" hidden="1">'Anforderungen'!$A$3:$I$93</definedName>
    <definedName name="_xlnm._FilterDatabase" localSheetId="4" hidden="1">'Parameter'!$A$3:$D$37</definedName>
    <definedName name="_xlnm._FilterDatabase" localSheetId="5" hidden="1">'Modelle'!$A$3:$G$12</definedName>
    <definedName name="_xlnm._FilterDatabase" localSheetId="6" hidden="1">'Schnittstellen'!$A$3:$H$9</definedName>
    <definedName name="_xlnm._FilterDatabase" localSheetId="7" hidden="1">'Risiken'!$A$3:$L$10</definedName>
    <definedName name="_xlnm._FilterDatabase" localSheetId="8" hidden="1">'Tests'!$A$3:$H$20</definedName>
    <definedName name="_xlnm._FilterDatabase" localSheetId="9" hidden="1">'Offene_Punkte'!$A$3:$J$15</definedName>
    <definedName name="_xlnm._FilterDatabase" localSheetId="10" hidden="1">'Glossar'!$A$3:$B$22</definedName>
    <definedName name="_xlnm._FilterDatabase" localSheetId="11" hidden="1">'Änderungen'!$A$3:$D$5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1F4E79"/>
      <sz val="16"/>
    </font>
    <font>
      <name val="Arial"/>
      <sz val="10"/>
    </font>
    <font>
      <name val="Arial"/>
      <b val="1"/>
      <sz val="10"/>
    </font>
    <font>
      <name val="Arial"/>
      <i val="1"/>
      <color rgb="00595959"/>
      <sz val="10"/>
    </font>
    <font>
      <name val="Arial"/>
      <b val="1"/>
      <color rgb="00FFFFFF"/>
      <sz val="10"/>
    </font>
    <font>
      <name val="Arial"/>
      <color rgb="000000FF"/>
      <sz val="10"/>
    </font>
  </fonts>
  <fills count="4">
    <fill>
      <patternFill/>
    </fill>
    <fill>
      <patternFill patternType="gray125"/>
    </fill>
    <fill>
      <patternFill patternType="solid">
        <fgColor rgb="001F4E79"/>
      </patternFill>
    </fill>
    <fill>
      <patternFill patternType="solid">
        <fgColor rgb="00F2F6FA"/>
      </patternFill>
    </fill>
  </fills>
  <borders count="2">
    <border>
      <left/>
      <right/>
      <top/>
      <bottom/>
      <diagonal/>
    </border>
    <border>
      <left style="thin">
        <color rgb="00C9D3DD"/>
      </left>
      <right style="thin">
        <color rgb="00C9D3DD"/>
      </right>
      <top style="thin">
        <color rgb="00C9D3DD"/>
      </top>
      <bottom style="thin">
        <color rgb="00C9D3DD"/>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6" fillId="0" borderId="1" applyAlignment="1" pivotButton="0" quotePrefix="0" xfId="0">
      <alignment vertical="top" wrapText="1"/>
    </xf>
    <xf numFmtId="0" fontId="6"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6" customWidth="1" min="1" max="1"/>
    <col width="110" customWidth="1" min="2" max="2"/>
  </cols>
  <sheetData>
    <row r="1">
      <c r="A1" s="1" t="inlineStr">
        <is>
          <t>Projektplan Luftschiff-Simulator</t>
        </is>
      </c>
    </row>
    <row r="2" ht="45" customHeight="1">
      <c r="A2" s="2" t="inlineStr">
        <is>
          <t>Eine App, in der man ein Luftschiff aus einer festen Auswahl wählt oder selbst auslegt (Baukasten nach den Stichpunkten des Nutzers) und es anschließend unter echtem oder gewähltem Wetter selbst fliegt. Schwerpunkt ist eine möglichst genaue Physik der Auslegung; die Umgebung bleibt schlicht wie beim Gasballon-Simulator.</t>
        </is>
      </c>
    </row>
    <row r="4">
      <c r="A4" s="3" t="inlineStr">
        <is>
          <t>Version</t>
        </is>
      </c>
      <c r="B4" s="2" t="inlineStr">
        <is>
          <t>0.2</t>
        </is>
      </c>
    </row>
    <row r="5">
      <c r="A5" s="3" t="inlineStr">
        <is>
          <t>Stand</t>
        </is>
      </c>
      <c r="B5" s="2" t="inlineStr">
        <is>
          <t>14.10.2026</t>
        </is>
      </c>
    </row>
    <row r="6">
      <c r="A6" s="3" t="inlineStr">
        <is>
          <t>Status</t>
        </is>
      </c>
      <c r="B6" s="2" t="inlineStr">
        <is>
          <t>Build 2026-10-14.6 im Repository (Zweig main). Phasen 1–3 (Rechenkern, feste Modelle, Baukasten) umgesetzt, Phase 4 (Fahrt) weitgehend umgesetzt. Offen: neue Felder Träger/Kiel/Ballonets (Entwurf wartet auf Freigabe), Wetter ruhig/mittel/extrem und historisches Datum, Missionsplanung, Aufgaben und Szenarien.</t>
        </is>
      </c>
    </row>
    <row r="7">
      <c r="A7" s="3" t="inlineStr">
        <is>
          <t>Plattform</t>
        </is>
      </c>
      <c r="B7" s="2" t="inlineStr">
        <is>
          <t>Web-App für Android und iOS (wie der Gasballon-Simulator), Hochformat am Handy</t>
        </is>
      </c>
    </row>
    <row r="8">
      <c r="A8" s="3" t="inlineStr">
        <is>
          <t>Repository</t>
        </is>
      </c>
      <c r="B8" s="2" t="inlineStr">
        <is>
          <t>github.com/DerFink/Luftschiff_Simulator (öffentlich); Ordner app/ für die App, werkstatt/ für Werkzeuge</t>
        </is>
      </c>
    </row>
    <row r="9">
      <c r="A9" s="3" t="inlineStr">
        <is>
          <t>Fachliche Grundlage</t>
        </is>
      </c>
      <c r="B9" s="2" t="inlineStr">
        <is>
          <t>Burgess, Airship Design (1927), als PDF beim Nutzer; Gertler, Series 58 (Rumpfformen); für Halbstarre und Blimps ergänzend Blakemore/Pagon, Pressure Airships (1927), noch nicht beschafft</t>
        </is>
      </c>
    </row>
    <row r="10">
      <c r="A10" s="3" t="inlineStr">
        <is>
          <t>Verwandtes Projekt</t>
        </is>
      </c>
      <c r="B10" s="2" t="inlineStr">
        <is>
          <t>Gasballon-Simulator (derfink/Bo-Twins, Ordner spiel/). Dessen Stand wird nicht verändert; Verbesserungen sollen in beide einfließen, ohne doppelt zu entwickeln (gemeinsamer Kern geplant).</t>
        </is>
      </c>
    </row>
    <row r="11">
      <c r="A11" s="3" t="inlineStr">
        <is>
          <t>Arbeitsweise</t>
        </is>
      </c>
      <c r="B11" s="2" t="inlineStr">
        <is>
          <t>Erst prüfen und fragen, erst nach Freigabe bauen. Darstellungen vorab als Bild. Code ausführlich kommentiert, damit erkennbar ist, wofür jeder Abschnitt zuständig ist. Projektplan nur auf Aufforderung anlegen oder fortschreiben.</t>
        </is>
      </c>
    </row>
    <row r="12">
      <c r="A12" s="3" t="inlineStr">
        <is>
          <t>Verantwortlich</t>
        </is>
      </c>
      <c r="B12" s="2" t="inlineStr">
        <is>
          <t>Nutzer (Projektinhaber); Umsetzung Claude</t>
        </is>
      </c>
    </row>
  </sheetData>
  <mergeCells count="1">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12" customWidth="1" min="1" max="1"/>
    <col width="8" customWidth="1" min="2" max="2"/>
    <col width="110" customWidth="1" min="3" max="3"/>
    <col width="30" customWidth="1" min="4" max="4"/>
  </cols>
  <sheetData>
    <row r="1">
      <c r="A1" s="1" t="inlineStr">
        <is>
          <t>Ziele und Rahmen</t>
        </is>
      </c>
    </row>
    <row r="2">
      <c r="A2" s="4" t="inlineStr">
        <is>
          <t>Was die App erreichen soll und unter welchen Bedingungen.</t>
        </is>
      </c>
    </row>
    <row r="3">
      <c r="A3" s="5" t="inlineStr">
        <is>
          <t>Kategorie</t>
        </is>
      </c>
      <c r="B3" s="5" t="inlineStr">
        <is>
          <t>Nr.</t>
        </is>
      </c>
      <c r="C3" s="5" t="inlineStr">
        <is>
          <t>Inhalt</t>
        </is>
      </c>
      <c r="D3" s="5" t="inlineStr">
        <is>
          <t>Quelle</t>
        </is>
      </c>
    </row>
    <row r="4">
      <c r="A4" s="6" t="inlineStr">
        <is>
          <t>Ziel</t>
        </is>
      </c>
      <c r="B4" s="6" t="inlineStr">
        <is>
          <t>Z-01</t>
        </is>
      </c>
      <c r="C4" s="6" t="inlineStr">
        <is>
          <t>Ein Luftschiff aus einer festen Auswahl wählen oder selbst bauen, speichern und anschließend fliegen.</t>
        </is>
      </c>
      <c r="D4" s="6" t="inlineStr">
        <is>
          <t>Nutzer 13.10.2026 (Version 0.1)</t>
        </is>
      </c>
    </row>
    <row r="5">
      <c r="A5" s="7" t="inlineStr">
        <is>
          <t>Ziel</t>
        </is>
      </c>
      <c r="B5" s="7" t="inlineStr">
        <is>
          <t>Z-02</t>
        </is>
      </c>
      <c r="C5" s="7" t="inlineStr">
        <is>
          <t>Die physikalischen Grundlagen der Auslegung möglichst genau bestimmen (Auftrieb, Massen, Widerstand, Leistung, Festigkeit im Überschlag). Die Umgebung bleibt schlicht.</t>
        </is>
      </c>
      <c r="D5" s="7" t="inlineStr">
        <is>
          <t>Nutzer 13.10.2026 (Version 0.1)</t>
        </is>
      </c>
    </row>
    <row r="6">
      <c r="A6" s="6" t="inlineStr">
        <is>
          <t>Ziel</t>
        </is>
      </c>
      <c r="B6" s="6" t="inlineStr">
        <is>
          <t>Z-03</t>
        </is>
      </c>
      <c r="C6" s="6" t="inlineStr">
        <is>
          <t>Abschätzen lassen, wie lange und wie weit ein Luftschiff unter realen Wetterbedingungen unterwegs sein kann. Die Abschätzung macht der Nutzer selbst durch Fliegen; die App liefert Eckdaten und Auswertung.</t>
        </is>
      </c>
      <c r="D6" s="6" t="inlineStr">
        <is>
          <t>Nutzer 13.10.2026 (Version 0.1)</t>
        </is>
      </c>
    </row>
    <row r="7">
      <c r="A7" s="7" t="inlineStr">
        <is>
          <t>Ziel</t>
        </is>
      </c>
      <c r="B7" s="7" t="inlineStr">
        <is>
          <t>Z-04</t>
        </is>
      </c>
      <c r="C7" s="7" t="inlineStr">
        <is>
          <t>Erkenntnis, ob ein kleines bemanntes Elektroluftschiff sinnvoll ist.</t>
        </is>
      </c>
      <c r="D7" s="7" t="inlineStr">
        <is>
          <t>Nutzer 12.10.2026</t>
        </is>
      </c>
    </row>
    <row r="8">
      <c r="A8" s="6" t="inlineStr">
        <is>
          <t>Ziel</t>
        </is>
      </c>
      <c r="B8" s="6" t="inlineStr">
        <is>
          <t>Z-05</t>
        </is>
      </c>
      <c r="C8" s="6" t="inlineStr">
        <is>
          <t>Spielerisch zu guten Ergebnissen führen: einfache Oberfläche, zu jeder Entscheidung ein Vorschlag, von dem man frei abweichen kann; die Folgen sind sofort an den Eckdaten sichtbar.</t>
        </is>
      </c>
      <c r="D8" s="6" t="inlineStr">
        <is>
          <t>Nutzer 13.10.2026 (Version 0.1)</t>
        </is>
      </c>
    </row>
    <row r="9">
      <c r="A9" s="7" t="inlineStr">
        <is>
          <t>Ziel</t>
        </is>
      </c>
      <c r="B9" s="7" t="inlineStr">
        <is>
          <t>Z-06</t>
        </is>
      </c>
      <c r="C9" s="7" t="inlineStr">
        <is>
          <t>Größenbereich vom RC-Blimp (ab 0,25 m³) bis zum großen Starrluftschiff (rund 200.000 m³); auch autonome Luftschiffe (Drohnen).</t>
        </is>
      </c>
      <c r="D9" s="7" t="inlineStr">
        <is>
          <t>Nutzer 13.10.2026 (Version 0.1)</t>
        </is>
      </c>
    </row>
    <row r="10">
      <c r="A10" s="6" t="inlineStr">
        <is>
          <t>Ziel</t>
        </is>
      </c>
      <c r="B10" s="6" t="inlineStr">
        <is>
          <t>Z-07</t>
        </is>
      </c>
      <c r="C10" s="6" t="inlineStr">
        <is>
          <t>Freie Fahrt ist der Schwerpunkt; dazu historische Szenarien, Aufgaben und Missionsplanung wie in iNav oder ArduPilot.</t>
        </is>
      </c>
      <c r="D10" s="6" t="inlineStr">
        <is>
          <t>Nutzer 13.10.2026 (Version 0.1)</t>
        </is>
      </c>
    </row>
    <row r="11">
      <c r="A11" s="7" t="inlineStr">
        <is>
          <t>Rahmen</t>
        </is>
      </c>
      <c r="B11" s="7" t="inlineStr">
        <is>
          <t>R-01</t>
        </is>
      </c>
      <c r="C11" s="7" t="inlineStr">
        <is>
          <t>Web-App in einer Datei wie der Gasballon-Simulator, Karte mit Leaflet und OpenStreetMap, Wetter von Open-Meteo, 3D-Vorschau mit Three.js.</t>
        </is>
      </c>
      <c r="D11" s="7" t="inlineStr">
        <is>
          <t>Vorschlag Claude, vom Nutzer angenommen</t>
        </is>
      </c>
    </row>
    <row r="12">
      <c r="A12" s="6" t="inlineStr">
        <is>
          <t>Rahmen</t>
        </is>
      </c>
      <c r="B12" s="6" t="inlineStr">
        <is>
          <t>R-02</t>
        </is>
      </c>
      <c r="C12" s="6" t="inlineStr">
        <is>
          <t>Nicht kommerziell, privater Gebrauch (wie Gasballon-Simulator).</t>
        </is>
      </c>
      <c r="D12" s="6" t="inlineStr">
        <is>
          <t>Annahme, zu bestätigen</t>
        </is>
      </c>
    </row>
  </sheetData>
  <autoFilter ref="A3:D1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1"/>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80" customWidth="1" min="3" max="3"/>
    <col width="50" customWidth="1" min="4" max="4"/>
    <col width="20" customWidth="1" min="5" max="5"/>
    <col width="22" customWidth="1" min="6" max="6"/>
    <col width="13" customWidth="1" min="7" max="7"/>
  </cols>
  <sheetData>
    <row r="1">
      <c r="A1" s="1" t="inlineStr">
        <is>
          <t>Fahrplan</t>
        </is>
      </c>
    </row>
    <row r="2">
      <c r="A2" s="4" t="inlineStr">
        <is>
          <t>Phasen in der vorgesehenen Reihenfolge. Status per Auswahlliste.</t>
        </is>
      </c>
    </row>
    <row r="3">
      <c r="A3" s="5" t="inlineStr">
        <is>
          <t>Phase</t>
        </is>
      </c>
      <c r="B3" s="5" t="inlineStr">
        <is>
          <t>Titel</t>
        </is>
      </c>
      <c r="C3" s="5" t="inlineStr">
        <is>
          <t>Inhalt</t>
        </is>
      </c>
      <c r="D3" s="5" t="inlineStr">
        <is>
          <t>Ergebnis / Abnahme</t>
        </is>
      </c>
      <c r="E3" s="5" t="inlineStr">
        <is>
          <t>Voraussetzung</t>
        </is>
      </c>
      <c r="F3" s="5" t="inlineStr">
        <is>
          <t>Anforderungen</t>
        </is>
      </c>
      <c r="G3" s="5" t="inlineStr">
        <is>
          <t>Status</t>
        </is>
      </c>
    </row>
    <row r="4">
      <c r="A4" s="6" t="inlineStr">
        <is>
          <t>1</t>
        </is>
      </c>
      <c r="B4" s="6" t="inlineStr">
        <is>
          <t>Rechenkern Auslegung</t>
        </is>
      </c>
      <c r="C4" s="6" t="inlineStr">
        <is>
          <t>Gertler-Rumpf (Polynom 6. Grades, L/D, m, Cp, r0, r1, spitzes Heck), Volumen, Oberfläche, Auftriebsschwerpunkt; Normatmosphäre; Traggas He/H₂ mit Reinheit und Füllgrad; Massen nach Bauteilen; Widerstand mit Größenkorrektur; Leistung nach Burgess; statische Gipfelhöhe, Ballonet; Leitwerk im Überschlag nach Burgess.</t>
        </is>
      </c>
      <c r="D4" s="6" t="inlineStr">
        <is>
          <t>Prüftabelle: C-7 und USS Los Angeles nachgerechnet, Abweichungen zu Burgess-Daten benannt. Node-Tests des Kerns.</t>
        </is>
      </c>
      <c r="E4" s="6" t="inlineStr">
        <is>
          <t>-</t>
        </is>
      </c>
      <c r="F4" s="6" t="inlineStr">
        <is>
          <t>FOR-*, MAS-*, ANT-01..03, AER-*</t>
        </is>
      </c>
      <c r="G4" s="6" t="inlineStr">
        <is>
          <t>Getestet</t>
        </is>
      </c>
    </row>
    <row r="5">
      <c r="A5" s="7" t="inlineStr">
        <is>
          <t>2</t>
        </is>
      </c>
      <c r="B5" s="7" t="inlineStr">
        <is>
          <t>Feste Modelle</t>
        </is>
      </c>
      <c r="C5" s="7" t="inlineStr">
        <is>
          <t>Die 9 festen Luftschiffe mit dem Nutzer auslegen und als Speicher-Code ablegen; Annahmen (v. a. LZ 120) festhalten.</t>
        </is>
      </c>
      <c r="D5" s="7" t="inlineStr">
        <is>
          <t>Alle Modelle im Kern rechenbar; Eckdaten plausibel gegen Quellen.</t>
        </is>
      </c>
      <c r="E5" s="7" t="inlineStr">
        <is>
          <t>Phase 1</t>
        </is>
      </c>
      <c r="F5" s="7" t="inlineStr">
        <is>
          <t>MOD-*</t>
        </is>
      </c>
      <c r="G5" s="7" t="inlineStr">
        <is>
          <t>Getestet</t>
        </is>
      </c>
    </row>
    <row r="6">
      <c r="A6" s="6" t="inlineStr">
        <is>
          <t>3</t>
        </is>
      </c>
      <c r="B6" s="6" t="inlineStr">
        <is>
          <t>Baukasten-Oberfläche</t>
        </is>
      </c>
      <c r="C6" s="6" t="inlineStr">
        <is>
          <t>Auswahl, Schritte nach den Stichpunkten des Nutzers, Vorschläge, Eckdaten-Leiste, 3D-Vorschau (Three.js), Ergebnis mit Massenbalken, Speicher-Code laden/speichern/teilen.</t>
        </is>
      </c>
      <c r="D6" s="6" t="inlineStr">
        <is>
          <t>Ein Luftschiff lässt sich am Handy bauen, speichern und wieder laden.</t>
        </is>
      </c>
      <c r="E6" s="6" t="inlineStr">
        <is>
          <t>Phase 1, Entwurf als Bild</t>
        </is>
      </c>
      <c r="F6" s="6" t="inlineStr">
        <is>
          <t>BAU-*, VOR-*, SPE-*</t>
        </is>
      </c>
      <c r="G6" s="6" t="inlineStr">
        <is>
          <t>Umgesetzt</t>
        </is>
      </c>
    </row>
    <row r="7">
      <c r="A7" s="7" t="inlineStr">
        <is>
          <t>4</t>
        </is>
      </c>
      <c r="B7" s="7" t="inlineStr">
        <is>
          <t>Fahrt Grundlagen</t>
        </is>
      </c>
      <c r="C7" s="7" t="inlineStr">
        <is>
          <t>Karte, Ort (Wunschort, GPS, Flughafen Friedrichshafen), echtes Wetter, Flugphysik (statisch und dynamisch), Bedienung (Schub, Ruder, Höhenruder, Trimm, Ballast, Gas), Zeitraffer, Seitenansicht unter 100 m, Landung, Auswertung.</t>
        </is>
      </c>
      <c r="D7" s="7" t="inlineStr">
        <is>
          <t>Freie Fahrt mit einem festen Modell vom Start bis zur Landung.</t>
        </is>
      </c>
      <c r="E7" s="7" t="inlineStr">
        <is>
          <t>Phase 3</t>
        </is>
      </c>
      <c r="F7" s="7" t="inlineStr">
        <is>
          <t>FAH-*, STE-*, ANZ-*</t>
        </is>
      </c>
      <c r="G7" s="7" t="inlineStr">
        <is>
          <t>Teilweise</t>
        </is>
      </c>
    </row>
    <row r="8">
      <c r="A8" s="6" t="inlineStr">
        <is>
          <t>5</t>
        </is>
      </c>
      <c r="B8" s="6" t="inlineStr">
        <is>
          <t>Wetter und Szenarien</t>
        </is>
      </c>
      <c r="C8" s="6" t="inlineStr">
        <is>
          <t>Wetter ruhig/mittel/extrem je Ort aus dem Archiv; historisches Datum mit Wetter entlang der Fahrt; Szenarien Windstill, Böig, Thermik, Front, Halle.</t>
        </is>
      </c>
      <c r="D8" s="6" t="inlineStr">
        <is>
          <t>Gleiches Modell bei drei Wetterlagen fliegbar; Herkunft der Daten sichtbar.</t>
        </is>
      </c>
      <c r="E8" s="6" t="inlineStr">
        <is>
          <t>Phase 4</t>
        </is>
      </c>
      <c r="F8" s="6" t="inlineStr">
        <is>
          <t>MET-*</t>
        </is>
      </c>
      <c r="G8" s="6" t="inlineStr">
        <is>
          <t>Offen</t>
        </is>
      </c>
    </row>
    <row r="9">
      <c r="A9" s="7" t="inlineStr">
        <is>
          <t>6</t>
        </is>
      </c>
      <c r="B9" s="7" t="inlineStr">
        <is>
          <t>Assistenten und Mission</t>
        </is>
      </c>
      <c r="C9" s="7" t="inlineStr">
        <is>
          <t>Höhe halten, Kurs halten, Tempomat, Position halten; Missionsplanung mit Wegpunkten, Aktionen und Failsafe (Rückkehr bei knapper Energie).</t>
        </is>
      </c>
      <c r="D9" s="7" t="inlineStr">
        <is>
          <t>Stadion-Aufgabe: 90 min Position halten mit 1 kg Kamera und Rückkehr.</t>
        </is>
      </c>
      <c r="E9" s="7" t="inlineStr">
        <is>
          <t>Phase 4</t>
        </is>
      </c>
      <c r="F9" s="7" t="inlineStr">
        <is>
          <t>AUT-*</t>
        </is>
      </c>
      <c r="G9" s="7" t="inlineStr">
        <is>
          <t>Teilweise</t>
        </is>
      </c>
    </row>
    <row r="10">
      <c r="A10" s="6" t="inlineStr">
        <is>
          <t>7</t>
        </is>
      </c>
      <c r="B10" s="6" t="inlineStr">
        <is>
          <t>Aufgaben und historische Szenarien</t>
        </is>
      </c>
      <c r="C10" s="6" t="inlineStr">
        <is>
          <t>LZ 129 Frankfurt–Lakehurst, LZ 120 Friedrichshafen–Berlin-Staaken, Zeppelin NT Sehenswürdigkeiten am Bodensee in 1 h; Ausdauer, Zurück zum Start, A nach B.</t>
        </is>
      </c>
      <c r="D10" s="6" t="inlineStr">
        <is>
          <t>Jede Aufgabe einmal vollständig gefahren und gewertet.</t>
        </is>
      </c>
      <c r="E10" s="6" t="inlineStr">
        <is>
          <t>Phase 5, 6</t>
        </is>
      </c>
      <c r="F10" s="6" t="inlineStr">
        <is>
          <t>AUF-*</t>
        </is>
      </c>
      <c r="G10" s="6" t="inlineStr">
        <is>
          <t>Offen</t>
        </is>
      </c>
    </row>
    <row r="11">
      <c r="A11" s="7" t="inlineStr">
        <is>
          <t>8</t>
        </is>
      </c>
      <c r="B11" s="7" t="inlineStr">
        <is>
          <t>Gemeinsamer Kern mit Gasballon</t>
        </is>
      </c>
      <c r="C11" s="7" t="inlineStr">
        <is>
          <t>Atmosphäre, Wetter, Gelände, Karte als gemeinsam genutzte Teile herauslösen, ohne den Gasballon-Stand zu verändern.</t>
        </is>
      </c>
      <c r="D11" s="7" t="inlineStr">
        <is>
          <t>Beide Apps nutzen dieselben Grundbausteine.</t>
        </is>
      </c>
      <c r="E11" s="7" t="inlineStr">
        <is>
          <t>Phase 4</t>
        </is>
      </c>
      <c r="F11" s="7" t="inlineStr">
        <is>
          <t>NFA-04</t>
        </is>
      </c>
      <c r="G11" s="7" t="inlineStr">
        <is>
          <t>Offen</t>
        </is>
      </c>
    </row>
  </sheetData>
  <autoFilter ref="A3:G11"/>
  <dataValidations count="1">
    <dataValidation sqref="G4:G211" showDropDown="0" showInputMessage="0" showErrorMessage="0" allowBlank="1" type="list">
      <formula1>"Offen,In Arbeit,Teilweise,Umgesetzt,Getestet,Zurückgestellt"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pane ySplit="3" topLeftCell="A4" activePane="bottomLeft" state="frozen"/>
      <selection pane="bottomLeft" activeCell="A1" sqref="A1"/>
    </sheetView>
  </sheetViews>
  <sheetFormatPr baseColWidth="8" defaultRowHeight="15"/>
  <cols>
    <col width="9" customWidth="1" min="1" max="1"/>
    <col width="13" customWidth="1" min="2" max="2"/>
    <col width="28" customWidth="1" min="3" max="3"/>
    <col width="70" customWidth="1" min="4" max="4"/>
    <col width="40" customWidth="1" min="5" max="5"/>
    <col width="8" customWidth="1" min="6" max="6"/>
    <col width="11" customWidth="1" min="7" max="7"/>
    <col width="22" customWidth="1" min="8" max="8"/>
    <col width="9" customWidth="1" min="9" max="9"/>
  </cols>
  <sheetData>
    <row r="1">
      <c r="A1" s="1" t="inlineStr">
        <is>
          <t>Anforderungen</t>
        </is>
      </c>
    </row>
    <row r="2">
      <c r="A2" s="4" t="inlineStr">
        <is>
          <t>Stand 14.10.2026 (Build 2026-10-14.6). Priorität und Status per Auswahlliste. Spalte I zählt automatisch die Testfälle (Blatt Tests), die die Anforderung nennen.</t>
        </is>
      </c>
    </row>
    <row r="3">
      <c r="A3" s="5" t="inlineStr">
        <is>
          <t>ID</t>
        </is>
      </c>
      <c r="B3" s="5" t="inlineStr">
        <is>
          <t>Bereich</t>
        </is>
      </c>
      <c r="C3" s="5" t="inlineStr">
        <is>
          <t>Titel</t>
        </is>
      </c>
      <c r="D3" s="5" t="inlineStr">
        <is>
          <t>Beschreibung</t>
        </is>
      </c>
      <c r="E3" s="5" t="inlineStr">
        <is>
          <t>Akzeptanz</t>
        </is>
      </c>
      <c r="F3" s="5" t="inlineStr">
        <is>
          <t>Prio</t>
        </is>
      </c>
      <c r="G3" s="5" t="inlineStr">
        <is>
          <t>Status</t>
        </is>
      </c>
      <c r="H3" s="5" t="inlineStr">
        <is>
          <t>Quelle</t>
        </is>
      </c>
      <c r="I3" s="5" t="inlineStr">
        <is>
          <t>Testfälle</t>
        </is>
      </c>
    </row>
    <row r="4">
      <c r="A4" s="6" t="inlineStr">
        <is>
          <t>BAU-01</t>
        </is>
      </c>
      <c r="B4" s="6" t="inlineStr">
        <is>
          <t>Baukasten</t>
        </is>
      </c>
      <c r="C4" s="6" t="inlineStr">
        <is>
          <t>Ablauf nach den Stichpunkten des Nutzers</t>
        </is>
      </c>
      <c r="D4" s="6" t="inlineStr">
        <is>
          <t>Die Entscheidungen folgen der Reihenfolge der Stichpunkte: Form (L/D, Gertler), Bauweise (starr, halbstarr mit Kiel, Blimp/Prall) mit Leitwerk, Traggas (He/H₂), Volumen ⇒ L und D, Hüllengewicht, Gondel (Korb, fest am Rumpf, im Rumpf), Pax, Antriebsart, Höchstgeschwindigkeit, Ballast, Schlepptau.</t>
        </is>
      </c>
      <c r="E4" s="6" t="inlineStr">
        <is>
          <t>Alle Schritte sind in dieser Reihenfolge erreichbar; jeder Schritt lässt sich später wieder öffnen.</t>
        </is>
      </c>
      <c r="F4" s="6" t="inlineStr">
        <is>
          <t>Muss</t>
        </is>
      </c>
      <c r="G4" s="6" t="inlineStr">
        <is>
          <t>Umgesetzt</t>
        </is>
      </c>
      <c r="H4" s="6" t="inlineStr">
        <is>
          <t>Nutzer 13.10.2026 (Version 0.1)</t>
        </is>
      </c>
      <c r="I4" s="6">
        <f>COUNTIF(Tests!$C$4:$C$300,"*"&amp;A4&amp;"*")</f>
        <v/>
      </c>
    </row>
    <row r="5">
      <c r="A5" s="7" t="inlineStr">
        <is>
          <t>BAU-02</t>
        </is>
      </c>
      <c r="B5" s="7" t="inlineStr">
        <is>
          <t>Baukasten</t>
        </is>
      </c>
      <c r="C5" s="7" t="inlineStr">
        <is>
          <t>Vorschlag zu jeder Entscheidung</t>
        </is>
      </c>
      <c r="D5" s="7" t="inlineStr">
        <is>
          <t>Zu jedem Schritt schlägt die App einen plausiblen Wert vor (z. B. Elektroantrieb: Zahl, Leistung und Lage der Motoren, Propellerdurchmesser und Akku nach der Leistungsgleichung von Burgess). Der Vorschlag ist auf dem Regler markiert und mit einem Knopf wiederherstellbar.</t>
        </is>
      </c>
      <c r="E5" s="7" t="inlineStr">
        <is>
          <t>Bei jedem Schritt erscheint ein Vorschlag; „Vorschlag“ setzt den Wert zurück.</t>
        </is>
      </c>
      <c r="F5" s="7" t="inlineStr">
        <is>
          <t>Muss</t>
        </is>
      </c>
      <c r="G5" s="7" t="inlineStr">
        <is>
          <t>Umgesetzt</t>
        </is>
      </c>
      <c r="H5" s="7" t="inlineStr">
        <is>
          <t>Nutzer 13.10.2026 (Version 0.1)</t>
        </is>
      </c>
      <c r="I5" s="7">
        <f>COUNTIF(Tests!$C$4:$C$300,"*"&amp;A5&amp;"*")</f>
        <v/>
      </c>
    </row>
    <row r="6">
      <c r="A6" s="6" t="inlineStr">
        <is>
          <t>BAU-03</t>
        </is>
      </c>
      <c r="B6" s="6" t="inlineStr">
        <is>
          <t>Baukasten</t>
        </is>
      </c>
      <c r="C6" s="6" t="inlineStr">
        <is>
          <t>Freie Abweichung ohne Sperre</t>
        </is>
      </c>
      <c r="D6" s="6" t="inlineStr">
        <is>
          <t>Der Nutzer kann jeden Wert frei ändern, auch unsinnig (z. B. viel zu kleiner Antrieb). Die App sperrt nichts, sondern zeigt Folgen und Warnungen.</t>
        </is>
      </c>
      <c r="E6" s="6" t="inlineStr">
        <is>
          <t>Ein Antrieb mit 10 % des Vorschlags lässt sich bauen und fliegen; die Eckdaten zeigen die Folgen.</t>
        </is>
      </c>
      <c r="F6" s="6" t="inlineStr">
        <is>
          <t>Muss</t>
        </is>
      </c>
      <c r="G6" s="6" t="inlineStr">
        <is>
          <t>Umgesetzt</t>
        </is>
      </c>
      <c r="H6" s="6" t="inlineStr">
        <is>
          <t>Nutzer 13.10.2026 (Version 0.1)</t>
        </is>
      </c>
      <c r="I6" s="6">
        <f>COUNTIF(Tests!$C$4:$C$300,"*"&amp;A6&amp;"*")</f>
        <v/>
      </c>
    </row>
    <row r="7">
      <c r="A7" s="7" t="inlineStr">
        <is>
          <t>BAU-04</t>
        </is>
      </c>
      <c r="B7" s="7" t="inlineStr">
        <is>
          <t>Baukasten</t>
        </is>
      </c>
      <c r="C7" s="7" t="inlineStr">
        <is>
          <t>Eckdaten immer sichtbar</t>
        </is>
      </c>
      <c r="D7" s="7" t="inlineStr">
        <is>
          <t>Während des gesamten Baukastens sind die Eckdaten sichtbar: Volumen, Leermasse, freie Nutzlast, Gipfelhöhe, Höchst- und Reisegeschwindigkeit, Fahrdauer, Reichweite. Die Änderung durch die letzte Entscheidung wird farbig gezeigt (grün besser, rot schlechter).</t>
        </is>
      </c>
      <c r="E7" s="7" t="inlineStr">
        <is>
          <t>Jede Änderung aktualisiert die Eckdaten sofort (unter 0,1 s).</t>
        </is>
      </c>
      <c r="F7" s="7" t="inlineStr">
        <is>
          <t>Muss</t>
        </is>
      </c>
      <c r="G7" s="7" t="inlineStr">
        <is>
          <t>Umgesetzt</t>
        </is>
      </c>
      <c r="H7" s="7" t="inlineStr">
        <is>
          <t>Nutzer 13.10.2026 (Version 0.1)</t>
        </is>
      </c>
      <c r="I7" s="7">
        <f>COUNTIF(Tests!$C$4:$C$300,"*"&amp;A7&amp;"*")</f>
        <v/>
      </c>
    </row>
    <row r="8">
      <c r="A8" s="6" t="inlineStr">
        <is>
          <t>BAU-05</t>
        </is>
      </c>
      <c r="B8" s="6" t="inlineStr">
        <is>
          <t>Baukasten</t>
        </is>
      </c>
      <c r="C8" s="6" t="inlineStr">
        <is>
          <t>Einfache Oberfläche</t>
        </is>
      </c>
      <c r="D8" s="6" t="inlineStr">
        <is>
          <t>Die App wirkt nicht kompliziert: ein Schritt pro Bildschirm, große Vorschau, Details nur auf Wunsch.</t>
        </is>
      </c>
      <c r="E8" s="6" t="inlineStr">
        <is>
          <t>Abnahme durch den Nutzer am Handy.</t>
        </is>
      </c>
      <c r="F8" s="6" t="inlineStr">
        <is>
          <t>Soll</t>
        </is>
      </c>
      <c r="G8" s="6" t="inlineStr">
        <is>
          <t>Umgesetzt</t>
        </is>
      </c>
      <c r="H8" s="6" t="inlineStr">
        <is>
          <t>Nutzer 13.10.2026 (Version 0.1)</t>
        </is>
      </c>
      <c r="I8" s="6">
        <f>COUNTIF(Tests!$C$4:$C$300,"*"&amp;A8&amp;"*")</f>
        <v/>
      </c>
    </row>
    <row r="9">
      <c r="A9" s="7" t="inlineStr">
        <is>
          <t>BAU-06</t>
        </is>
      </c>
      <c r="B9" s="7" t="inlineStr">
        <is>
          <t>Baukasten</t>
        </is>
      </c>
      <c r="C9" s="7" t="inlineStr">
        <is>
          <t>Warnungen aus der Physik</t>
        </is>
      </c>
      <c r="D9" s="7" t="inlineStr">
        <is>
          <t>Beispiele: Nase beult ein (Staudruck größer als Innendruck), Ballonet zu klein für die Gipfelhöhe, Hülle überlastet, Leitwerk zu klein, H₂-Austritt am Appendix nahe den Motoren.</t>
        </is>
      </c>
      <c r="E9" s="7" t="inlineStr">
        <is>
          <t>Jede Warnung nennt den Grenzwert (z. B. „ab 33 km/h“) und eine Abhilfe.</t>
        </is>
      </c>
      <c r="F9" s="7" t="inlineStr">
        <is>
          <t>Muss</t>
        </is>
      </c>
      <c r="G9" s="7" t="inlineStr">
        <is>
          <t>Teilweise</t>
        </is>
      </c>
      <c r="H9" s="7" t="inlineStr">
        <is>
          <t>Nutzer 13.10.2026 (Version 0.1)</t>
        </is>
      </c>
      <c r="I9" s="7">
        <f>COUNTIF(Tests!$C$4:$C$300,"*"&amp;A9&amp;"*")</f>
        <v/>
      </c>
    </row>
    <row r="10">
      <c r="A10" s="6" t="inlineStr">
        <is>
          <t>BAU-07</t>
        </is>
      </c>
      <c r="B10" s="6" t="inlineStr">
        <is>
          <t>Baukasten</t>
        </is>
      </c>
      <c r="C10" s="6" t="inlineStr">
        <is>
          <t>Einheiten passend zur Größe</t>
        </is>
      </c>
      <c r="D10" s="6" t="inlineStr">
        <is>
          <t>Die Anzeige schaltet je nach Größe um: g, W, Wh bei RC-Blimps; kg, kW, kWh bei kleinen; t, MW bei großen Schiffen.</t>
        </is>
      </c>
      <c r="E10" s="6" t="inlineStr">
        <is>
          <t>RC-Blimp zeigt Gramm, LZ 129 Tonnen.</t>
        </is>
      </c>
      <c r="F10" s="6" t="inlineStr">
        <is>
          <t>Muss</t>
        </is>
      </c>
      <c r="G10" s="6" t="inlineStr">
        <is>
          <t>Umgesetzt</t>
        </is>
      </c>
      <c r="H10" s="6" t="inlineStr">
        <is>
          <t>Nutzer 13.10.2026 (Version 0.1)</t>
        </is>
      </c>
      <c r="I10" s="6">
        <f>COUNTIF(Tests!$C$4:$C$300,"*"&amp;A10&amp;"*")</f>
        <v/>
      </c>
    </row>
    <row r="11">
      <c r="A11" s="7" t="inlineStr">
        <is>
          <t>BAU-08</t>
        </is>
      </c>
      <c r="B11" s="7" t="inlineStr">
        <is>
          <t>Baukasten</t>
        </is>
      </c>
      <c r="C11" s="7" t="inlineStr">
        <is>
          <t>Schrittleiste seitlich scrollbar</t>
        </is>
      </c>
      <c r="D11" s="7" t="inlineStr">
        <is>
          <t>Die Leiste der Auslegungsschritte lässt sich nach rechts und links scrollen (Pfeile und Wischen).</t>
        </is>
      </c>
      <c r="E11" s="7" t="inlineStr">
        <is>
          <t>Alle Schritte am Handy erreichbar.</t>
        </is>
      </c>
      <c r="F11" s="7" t="inlineStr">
        <is>
          <t>Muss</t>
        </is>
      </c>
      <c r="G11" s="7" t="inlineStr">
        <is>
          <t>Getestet</t>
        </is>
      </c>
      <c r="H11" s="7" t="inlineStr">
        <is>
          <t>Nutzer 13.10.2026</t>
        </is>
      </c>
      <c r="I11" s="7">
        <f>COUNTIF(Tests!$C$4:$C$300,"*"&amp;A11&amp;"*")</f>
        <v/>
      </c>
    </row>
    <row r="12">
      <c r="A12" s="6" t="inlineStr">
        <is>
          <t>BAU-09</t>
        </is>
      </c>
      <c r="B12" s="6" t="inlineStr">
        <is>
          <t>Baukasten</t>
        </is>
      </c>
      <c r="C12" s="6" t="inlineStr">
        <is>
          <t>Einheit immer angeben: kg oder Anzahl</t>
        </is>
      </c>
      <c r="D12" s="6" t="inlineStr">
        <is>
          <t>Bei jedem Wert steht, ob es sich um eine Masse (kg, t, g) oder eine Anzahl (Stück) handelt.</t>
        </is>
      </c>
      <c r="E12" s="6" t="inlineStr">
        <is>
          <t>Kein Wert ohne Einheit.</t>
        </is>
      </c>
      <c r="F12" s="6" t="inlineStr">
        <is>
          <t>Muss</t>
        </is>
      </c>
      <c r="G12" s="6" t="inlineStr">
        <is>
          <t>Umgesetzt</t>
        </is>
      </c>
      <c r="H12" s="6" t="inlineStr">
        <is>
          <t>Nutzer 13.10.2026</t>
        </is>
      </c>
      <c r="I12" s="6">
        <f>COUNTIF(Tests!$C$4:$C$300,"*"&amp;A12&amp;"*")</f>
        <v/>
      </c>
    </row>
    <row r="13">
      <c r="A13" s="7" t="inlineStr">
        <is>
          <t>BAU-10</t>
        </is>
      </c>
      <c r="B13" s="7" t="inlineStr">
        <is>
          <t>Baukasten</t>
        </is>
      </c>
      <c r="C13" s="7" t="inlineStr">
        <is>
          <t>Rechenweg mit Quellen</t>
        </is>
      </c>
      <c r="D13" s="7" t="inlineStr">
        <is>
          <t>Das Ergebnis zeigt den Rechenweg (Formeln, Zwischenwerte, Quellen wie Burgess, Jones, Gertler), damit jeder nachlesen kann, wie die Zahlen entstehen.</t>
        </is>
      </c>
      <c r="E13" s="7" t="inlineStr">
        <is>
          <t>Rechenweg für jedes Modell abrufbar.</t>
        </is>
      </c>
      <c r="F13" s="7" t="inlineStr">
        <is>
          <t>Muss</t>
        </is>
      </c>
      <c r="G13" s="7" t="inlineStr">
        <is>
          <t>Umgesetzt</t>
        </is>
      </c>
      <c r="H13" s="7" t="inlineStr">
        <is>
          <t>Nutzer 13.10.2026</t>
        </is>
      </c>
      <c r="I13" s="7">
        <f>COUNTIF(Tests!$C$4:$C$300,"*"&amp;A13&amp;"*")</f>
        <v/>
      </c>
    </row>
    <row r="14">
      <c r="A14" s="6" t="inlineStr">
        <is>
          <t>BAU-11</t>
        </is>
      </c>
      <c r="B14" s="6" t="inlineStr">
        <is>
          <t>Baukasten</t>
        </is>
      </c>
      <c r="C14" s="6" t="inlineStr">
        <is>
          <t>Erbauer und eingetragene Luftschiffe</t>
        </is>
      </c>
      <c r="D14" s="6" t="inlineStr">
        <is>
          <t>Ein Benutzername wird als Erbauer im Speicher-Code geführt; eigene Luftschiffe erscheinen als eingetragene Luftschiffe in der Auswahl.</t>
        </is>
      </c>
      <c r="E14" s="6" t="inlineStr">
        <is>
          <t>Erbauer nach Laden des Codes sichtbar.</t>
        </is>
      </c>
      <c r="F14" s="6" t="inlineStr">
        <is>
          <t>Muss</t>
        </is>
      </c>
      <c r="G14" s="6" t="inlineStr">
        <is>
          <t>Umgesetzt</t>
        </is>
      </c>
      <c r="H14" s="6" t="inlineStr">
        <is>
          <t>Nutzer 14.10.2026</t>
        </is>
      </c>
      <c r="I14" s="6">
        <f>COUNTIF(Tests!$C$4:$C$300,"*"&amp;A14&amp;"*")</f>
        <v/>
      </c>
    </row>
    <row r="15">
      <c r="A15" s="7" t="inlineStr">
        <is>
          <t>BAU-12</t>
        </is>
      </c>
      <c r="B15" s="7" t="inlineStr">
        <is>
          <t>Baukasten</t>
        </is>
      </c>
      <c r="C15" s="7" t="inlineStr">
        <is>
          <t>Auswahlseite mit Seitenbild aus dem 3D-Modell</t>
        </is>
      </c>
      <c r="D15" s="7" t="inlineStr">
        <is>
          <t>Die Karten der Auswahl zeigen das Luftschiff als Seitenbild aus dem 3D-Modell, gleich wie in der Seitenansicht der Fahrt.</t>
        </is>
      </c>
      <c r="E15" s="7" t="inlineStr">
        <is>
          <t>Alle Karten mit Bild.</t>
        </is>
      </c>
      <c r="F15" s="7" t="inlineStr">
        <is>
          <t>Muss</t>
        </is>
      </c>
      <c r="G15" s="7" t="inlineStr">
        <is>
          <t>Umgesetzt</t>
        </is>
      </c>
      <c r="H15" s="7" t="inlineStr">
        <is>
          <t>Nutzer 14.10.2026</t>
        </is>
      </c>
      <c r="I15" s="7">
        <f>COUNTIF(Tests!$C$4:$C$300,"*"&amp;A15&amp;"*")</f>
        <v/>
      </c>
    </row>
    <row r="16">
      <c r="A16" s="6" t="inlineStr">
        <is>
          <t>FOR-01</t>
        </is>
      </c>
      <c r="B16" s="6" t="inlineStr">
        <is>
          <t>Form</t>
        </is>
      </c>
      <c r="C16" s="6" t="inlineStr">
        <is>
          <t>Rumpf nach Gertler (Series 58)</t>
        </is>
      </c>
      <c r="D16" s="6" t="inlineStr">
        <is>
          <t>Die Rumpfkontur folgt dem Polynom 6. Grades nach Gertler mit L/D, Lage des größten Durchmessers m, Völligkeitsgrad Cp, Nasenradius r0 und Heckradius r1.</t>
        </is>
      </c>
      <c r="E16" s="6" t="inlineStr">
        <is>
          <t>Die Kontur erfüllt alle fünf Vorgaben; Volumen nach Kontur und nach Cp stimmen überein.</t>
        </is>
      </c>
      <c r="F16" s="6" t="inlineStr">
        <is>
          <t>Muss</t>
        </is>
      </c>
      <c r="G16" s="6" t="inlineStr">
        <is>
          <t>Getestet</t>
        </is>
      </c>
      <c r="H16" s="6" t="inlineStr">
        <is>
          <t>Nutzer 13.10.2026 (Version 0.1)</t>
        </is>
      </c>
      <c r="I16" s="6">
        <f>COUNTIF(Tests!$C$4:$C$300,"*"&amp;A16&amp;"*")</f>
        <v/>
      </c>
    </row>
    <row r="17">
      <c r="A17" s="7" t="inlineStr">
        <is>
          <t>FOR-02</t>
        </is>
      </c>
      <c r="B17" s="7" t="inlineStr">
        <is>
          <t>Form</t>
        </is>
      </c>
      <c r="C17" s="7" t="inlineStr">
        <is>
          <t>Drei vorgegebene Formen</t>
        </is>
      </c>
      <c r="D17" s="7" t="inlineStr">
        <is>
          <t>Drei Gertler-Formen stehen fest zur Auswahl (z. B. schlank für Starrschiffe, Standard, völlig/kurz).</t>
        </is>
      </c>
      <c r="E17" s="7" t="inlineStr">
        <is>
          <t>Drei Formen wählbar, mit Vorschaubild.</t>
        </is>
      </c>
      <c r="F17" s="7" t="inlineStr">
        <is>
          <t>Muss</t>
        </is>
      </c>
      <c r="G17" s="7" t="inlineStr">
        <is>
          <t>Umgesetzt</t>
        </is>
      </c>
      <c r="H17" s="7" t="inlineStr">
        <is>
          <t>Nutzer 13.10.2026 (Version 0.1)</t>
        </is>
      </c>
      <c r="I17" s="7">
        <f>COUNTIF(Tests!$C$4:$C$300,"*"&amp;A17&amp;"*")</f>
        <v/>
      </c>
    </row>
    <row r="18">
      <c r="A18" s="6" t="inlineStr">
        <is>
          <t>FOR-03</t>
        </is>
      </c>
      <c r="B18" s="6" t="inlineStr">
        <is>
          <t>Form</t>
        </is>
      </c>
      <c r="C18" s="6" t="inlineStr">
        <is>
          <t>Eigenes Profil</t>
        </is>
      </c>
      <c r="D18" s="6" t="inlineStr">
        <is>
          <t>Der Nutzer kann L/D, m, Cp, r0 und r1 selbst eingeben. Unmögliche Kombinationen (Kontur mit negativem Radius) werden erkannt und gemeldet.</t>
        </is>
      </c>
      <c r="E18" s="6" t="inlineStr">
        <is>
          <t>Ungültige Eingabe ergibt Hinweis statt falscher Form.</t>
        </is>
      </c>
      <c r="F18" s="6" t="inlineStr">
        <is>
          <t>Muss</t>
        </is>
      </c>
      <c r="G18" s="6" t="inlineStr">
        <is>
          <t>Umgesetzt</t>
        </is>
      </c>
      <c r="H18" s="6" t="inlineStr">
        <is>
          <t>Nutzer 13.10.2026 (Version 0.1)</t>
        </is>
      </c>
      <c r="I18" s="6">
        <f>COUNTIF(Tests!$C$4:$C$300,"*"&amp;A18&amp;"*")</f>
        <v/>
      </c>
    </row>
    <row r="19">
      <c r="A19" s="7" t="inlineStr">
        <is>
          <t>FOR-04</t>
        </is>
      </c>
      <c r="B19" s="7" t="inlineStr">
        <is>
          <t>Form</t>
        </is>
      </c>
      <c r="C19" s="7" t="inlineStr">
        <is>
          <t>Spitzes Heck</t>
        </is>
      </c>
      <c r="D19" s="7" t="inlineStr">
        <is>
          <t>Ein spitzes Heck ist wählbar (Heckradius 0).</t>
        </is>
      </c>
      <c r="E19" s="7" t="inlineStr">
        <is>
          <t>Vorschau und Rechnung zeigen ein spitz zulaufendes Heck.</t>
        </is>
      </c>
      <c r="F19" s="7" t="inlineStr">
        <is>
          <t>Muss</t>
        </is>
      </c>
      <c r="G19" s="7" t="inlineStr">
        <is>
          <t>Umgesetzt</t>
        </is>
      </c>
      <c r="H19" s="7" t="inlineStr">
        <is>
          <t>Nutzer 13.10.2026 (Version 0.1)</t>
        </is>
      </c>
      <c r="I19" s="7">
        <f>COUNTIF(Tests!$C$4:$C$300,"*"&amp;A19&amp;"*")</f>
        <v/>
      </c>
    </row>
    <row r="20">
      <c r="A20" s="6" t="inlineStr">
        <is>
          <t>FOR-05</t>
        </is>
      </c>
      <c r="B20" s="6" t="inlineStr">
        <is>
          <t>Form</t>
        </is>
      </c>
      <c r="C20" s="6" t="inlineStr">
        <is>
          <t>Abgeleitete Größen</t>
        </is>
      </c>
      <c r="D20" s="6" t="inlineStr">
        <is>
          <t>Aus Form und Volumen folgen Länge, Durchmesser, Oberfläche, Querschnittsfläche, Lage des Auftriebsschwerpunkts und Volumen hoch 2/3.</t>
        </is>
      </c>
      <c r="E20" s="6" t="inlineStr">
        <is>
          <t>Werte für ein Ellipsoid stimmen mit der geschlossenen Formel überein.</t>
        </is>
      </c>
      <c r="F20" s="6" t="inlineStr">
        <is>
          <t>Muss</t>
        </is>
      </c>
      <c r="G20" s="6" t="inlineStr">
        <is>
          <t>Getestet</t>
        </is>
      </c>
      <c r="H20" s="6" t="inlineStr">
        <is>
          <t>Nutzer 13.10.2026 (Version 0.1)</t>
        </is>
      </c>
      <c r="I20" s="6">
        <f>COUNTIF(Tests!$C$4:$C$300,"*"&amp;A20&amp;"*")</f>
        <v/>
      </c>
    </row>
    <row r="21">
      <c r="A21" s="7" t="inlineStr">
        <is>
          <t>MAS-01</t>
        </is>
      </c>
      <c r="B21" s="7" t="inlineStr">
        <is>
          <t>Masse</t>
        </is>
      </c>
      <c r="C21" s="7" t="inlineStr">
        <is>
          <t>Masse nach Bauteilen</t>
        </is>
      </c>
      <c r="D21" s="7" t="inlineStr">
        <is>
          <t>Die Leermasse wird aus Bauteilen berechnet: Hülle (Fläche × Flächengewicht), Gerüst/Kiel, Gaszellen, Ballonets, Leitwerk, Gondel, Antrieb, Energiespeicher, Elektronik, Ausrüstung. Die Anteile nach Burgess dienen als Vorschlag für große Schiffe und zur Gegenprobe.</t>
        </is>
      </c>
      <c r="E21" s="7" t="inlineStr">
        <is>
          <t>Massenbalken zeigt alle Bauteile; Summe = Leermasse.</t>
        </is>
      </c>
      <c r="F21" s="7" t="inlineStr">
        <is>
          <t>Muss</t>
        </is>
      </c>
      <c r="G21" s="7" t="inlineStr">
        <is>
          <t>Getestet</t>
        </is>
      </c>
      <c r="H21" s="7" t="inlineStr">
        <is>
          <t>Nutzer 13.10.2026 (Version 0.1)</t>
        </is>
      </c>
      <c r="I21" s="7">
        <f>COUNTIF(Tests!$C$4:$C$300,"*"&amp;A21&amp;"*")</f>
        <v/>
      </c>
    </row>
    <row r="22">
      <c r="A22" s="6" t="inlineStr">
        <is>
          <t>MAS-02</t>
        </is>
      </c>
      <c r="B22" s="6" t="inlineStr">
        <is>
          <t>Masse</t>
        </is>
      </c>
      <c r="C22" s="6" t="inlineStr">
        <is>
          <t>Flächengewicht frei änderbar</t>
        </is>
      </c>
      <c r="D22" s="6" t="inlineStr">
        <is>
          <t>Das Flächengewicht des Hüllenstoffs ist bei jedem Modell frei änderbar. Vorschlag für kleine Folienmodelle: Tritax mit 27 g/m².</t>
        </is>
      </c>
      <c r="E22" s="6" t="inlineStr">
        <is>
          <t>Änderung des Flächengewichts ändert Leermasse und Nutzlast sofort.</t>
        </is>
      </c>
      <c r="F22" s="6" t="inlineStr">
        <is>
          <t>Muss</t>
        </is>
      </c>
      <c r="G22" s="6" t="inlineStr">
        <is>
          <t>Umgesetzt</t>
        </is>
      </c>
      <c r="H22" s="6" t="inlineStr">
        <is>
          <t>Nutzer 13.10.2026 (Version 0.1)</t>
        </is>
      </c>
      <c r="I22" s="6">
        <f>COUNTIF(Tests!$C$4:$C$300,"*"&amp;A22&amp;"*")</f>
        <v/>
      </c>
    </row>
    <row r="23">
      <c r="A23" s="7" t="inlineStr">
        <is>
          <t>MAS-03</t>
        </is>
      </c>
      <c r="B23" s="7" t="inlineStr">
        <is>
          <t>Masse</t>
        </is>
      </c>
      <c r="C23" s="7" t="inlineStr">
        <is>
          <t>Bauweisen</t>
        </is>
      </c>
      <c r="D23" s="7" t="inlineStr">
        <is>
          <t>Starr (Gerüst, Gaszellen, Außenhülle), halbstarr (Kiel, Prallhülle mit Ballonet), Blimp/Prall (Hülle mit Ballonet), Prall mit offenem Appendix ohne Ballonet (Sonderfall des Nutzers).</t>
        </is>
      </c>
      <c r="E23" s="7" t="inlineStr">
        <is>
          <t>Jede Bauweise hat eigene Massen- und Druckrechnung.</t>
        </is>
      </c>
      <c r="F23" s="7" t="inlineStr">
        <is>
          <t>Muss</t>
        </is>
      </c>
      <c r="G23" s="7" t="inlineStr">
        <is>
          <t>Umgesetzt</t>
        </is>
      </c>
      <c r="H23" s="7" t="inlineStr">
        <is>
          <t>Nutzer 13.10.2026 (Version 0.1)</t>
        </is>
      </c>
      <c r="I23" s="7">
        <f>COUNTIF(Tests!$C$4:$C$300,"*"&amp;A23&amp;"*")</f>
        <v/>
      </c>
    </row>
    <row r="24">
      <c r="A24" s="6" t="inlineStr">
        <is>
          <t>MAS-04</t>
        </is>
      </c>
      <c r="B24" s="6" t="inlineStr">
        <is>
          <t>Masse</t>
        </is>
      </c>
      <c r="C24" s="6" t="inlineStr">
        <is>
          <t>Gerüstmasse der Starrschiffe</t>
        </is>
      </c>
      <c r="D24" s="6" t="inlineStr">
        <is>
          <t>Die Gerüstmasse skaliert mit Größe und Belastung nach Burgess (Normand-Gleichung, Biegemoment) und wird an den Starrschiffen der Auswahl abgeglichen.</t>
        </is>
      </c>
      <c r="E24" s="6" t="inlineStr">
        <is>
          <t>Abweichung zur Leermasse von USS Los Angeles höchstens 10 % (Ziel).</t>
        </is>
      </c>
      <c r="F24" s="6" t="inlineStr">
        <is>
          <t>Muss</t>
        </is>
      </c>
      <c r="G24" s="6" t="inlineStr">
        <is>
          <t>Teilweise</t>
        </is>
      </c>
      <c r="H24" s="6" t="inlineStr">
        <is>
          <t>Nutzer 13.10.2026 (Version 0.1)</t>
        </is>
      </c>
      <c r="I24" s="6">
        <f>COUNTIF(Tests!$C$4:$C$300,"*"&amp;A24&amp;"*")</f>
        <v/>
      </c>
    </row>
    <row r="25">
      <c r="A25" s="7" t="inlineStr">
        <is>
          <t>MAS-05</t>
        </is>
      </c>
      <c r="B25" s="7" t="inlineStr">
        <is>
          <t>Masse</t>
        </is>
      </c>
      <c r="C25" s="7" t="inlineStr">
        <is>
          <t>Nutzlast-Bauteile</t>
        </is>
      </c>
      <c r="D25" s="7" t="inlineStr">
        <is>
          <t>Pax (Masse je Person einstellbar), Besatzung oder autonom (keine Besatzung, dafür Avionik), Nutzlast wie Kamera (z. B. 1 kg), Ballast, Schlepptau.</t>
        </is>
      </c>
      <c r="E25" s="7" t="inlineStr">
        <is>
          <t>Autonomes Schiff ohne Gondel und Besatzung baubar.</t>
        </is>
      </c>
      <c r="F25" s="7" t="inlineStr">
        <is>
          <t>Muss</t>
        </is>
      </c>
      <c r="G25" s="7" t="inlineStr">
        <is>
          <t>Umgesetzt</t>
        </is>
      </c>
      <c r="H25" s="7" t="inlineStr">
        <is>
          <t>Nutzer 13.10.2026 (Version 0.1)</t>
        </is>
      </c>
      <c r="I25" s="7">
        <f>COUNTIF(Tests!$C$4:$C$300,"*"&amp;A25&amp;"*")</f>
        <v/>
      </c>
    </row>
    <row r="26">
      <c r="A26" s="6" t="inlineStr">
        <is>
          <t>MAS-06</t>
        </is>
      </c>
      <c r="B26" s="6" t="inlineStr">
        <is>
          <t>Masse</t>
        </is>
      </c>
      <c r="C26" s="6" t="inlineStr">
        <is>
          <t>Träger, Gaszellen, Kiel, Ballonets als Felder</t>
        </is>
      </c>
      <c r="D26" s="6" t="inlineStr">
        <is>
          <t>Beim Starrschiff Zahl der Träger und Gaszellen wählbar, beim Halbstarren der Kiel als Gegenstück, Ballonets und Gondelabstand beim Blimp.</t>
        </is>
      </c>
      <c r="E26" s="6" t="inlineStr">
        <is>
          <t>Felder wirken auf Masse und Vorschau.</t>
        </is>
      </c>
      <c r="F26" s="6" t="inlineStr">
        <is>
          <t>Muss</t>
        </is>
      </c>
      <c r="G26" s="6" t="inlineStr">
        <is>
          <t>Offen</t>
        </is>
      </c>
      <c r="H26" s="6" t="inlineStr">
        <is>
          <t>Nutzer 13.10.2026</t>
        </is>
      </c>
      <c r="I26" s="6">
        <f>COUNTIF(Tests!$C$4:$C$300,"*"&amp;A26&amp;"*")</f>
        <v/>
      </c>
    </row>
    <row r="27">
      <c r="A27" s="7" t="inlineStr">
        <is>
          <t>GAS-01</t>
        </is>
      </c>
      <c r="B27" s="7" t="inlineStr">
        <is>
          <t>Statik</t>
        </is>
      </c>
      <c r="C27" s="7" t="inlineStr">
        <is>
          <t>Traggas, Reinheit, Füllgrad</t>
        </is>
      </c>
      <c r="D27" s="7" t="inlineStr">
        <is>
          <t>Helium oder Wasserstoff mit Reinheit und Füllgrad; Bruttoauftrieb aus Normatmosphäre bzw. Wetter (Druck, Temperatur), Gastemperatur mit Über- und Untertemperatur (Sonne).</t>
        </is>
      </c>
      <c r="E27" s="7" t="inlineStr">
        <is>
          <t>Auftrieb je m³ stimmt mit Tabellenwerten (Burgess) überein.</t>
        </is>
      </c>
      <c r="F27" s="7" t="inlineStr">
        <is>
          <t>Muss</t>
        </is>
      </c>
      <c r="G27" s="7" t="inlineStr">
        <is>
          <t>Getestet</t>
        </is>
      </c>
      <c r="H27" s="7" t="inlineStr">
        <is>
          <t>Nutzer 13.10.2026 (Version 0.1)</t>
        </is>
      </c>
      <c r="I27" s="7">
        <f>COUNTIF(Tests!$C$4:$C$300,"*"&amp;A27&amp;"*")</f>
        <v/>
      </c>
    </row>
    <row r="28">
      <c r="A28" s="6" t="inlineStr">
        <is>
          <t>GAS-02</t>
        </is>
      </c>
      <c r="B28" s="6" t="inlineStr">
        <is>
          <t>Statik</t>
        </is>
      </c>
      <c r="C28" s="6" t="inlineStr">
        <is>
          <t>Prallhöhe und Ballonet</t>
        </is>
      </c>
      <c r="D28" s="6" t="inlineStr">
        <is>
          <t>Prallhöhe aus Füllgrad; Ballonetgröße nach Burgess (Verhältnis abwerfbares Gewicht zu Bruttoauftrieb); höchste Höhe, aus der ohne Druckverlust abgestiegen werden kann.</t>
        </is>
      </c>
      <c r="E28" s="6" t="inlineStr">
        <is>
          <t>Beispiel aus Burgess (Ballonet 20 % ⇒ 7.500 ft) wird nachgerechnet.</t>
        </is>
      </c>
      <c r="F28" s="6" t="inlineStr">
        <is>
          <t>Muss</t>
        </is>
      </c>
      <c r="G28" s="6" t="inlineStr">
        <is>
          <t>Umgesetzt</t>
        </is>
      </c>
      <c r="H28" s="6" t="inlineStr">
        <is>
          <t>Nutzer 13.10.2026 (Version 0.1)</t>
        </is>
      </c>
      <c r="I28" s="6">
        <f>COUNTIF(Tests!$C$4:$C$300,"*"&amp;A28&amp;"*")</f>
        <v/>
      </c>
    </row>
    <row r="29">
      <c r="A29" s="7" t="inlineStr">
        <is>
          <t>GAS-03</t>
        </is>
      </c>
      <c r="B29" s="7" t="inlineStr">
        <is>
          <t>Statik</t>
        </is>
      </c>
      <c r="C29" s="7" t="inlineStr">
        <is>
          <t>Offener Appendix</t>
        </is>
      </c>
      <c r="D29" s="7" t="inlineStr">
        <is>
          <t>Bei offenem Appendix entsteht Innendruck nur aus der Gassäule (rund 11 Pa je Meter Höhe bei H₂). Steigt das Schiff, entweicht Gas; sinkt es, wird die Hülle schlaff. Formhaltung der Nase gegen den Staudruck wird geprüft.</t>
        </is>
      </c>
      <c r="E29" s="7" t="inlineStr">
        <is>
          <t>Warnung „Nase beult ab … km/h ein“ mit nachvollziehbarem Wert.</t>
        </is>
      </c>
      <c r="F29" s="7" t="inlineStr">
        <is>
          <t>Muss</t>
        </is>
      </c>
      <c r="G29" s="7" t="inlineStr">
        <is>
          <t>Umgesetzt</t>
        </is>
      </c>
      <c r="H29" s="7" t="inlineStr">
        <is>
          <t>Nutzer 13.10.2026 (Version 0.1)</t>
        </is>
      </c>
      <c r="I29" s="7">
        <f>COUNTIF(Tests!$C$4:$C$300,"*"&amp;A29&amp;"*")</f>
        <v/>
      </c>
    </row>
    <row r="30">
      <c r="A30" s="6" t="inlineStr">
        <is>
          <t>GAS-04</t>
        </is>
      </c>
      <c r="B30" s="6" t="inlineStr">
        <is>
          <t>Statik</t>
        </is>
      </c>
      <c r="C30" s="6" t="inlineStr">
        <is>
          <t>Druckhaltung der Prallhülle</t>
        </is>
      </c>
      <c r="D30" s="6" t="inlineStr">
        <is>
          <t>Bei Blimp und Halbstarr hält das Ballonet mit Gebläse den Überdruck; die nötige Druckhöhe richtet sich nach dem Staudruck bei Höchstgeschwindigkeit und dem Biegemoment (Burgess Kap. VI).</t>
        </is>
      </c>
      <c r="E30" s="6" t="inlineStr">
        <is>
          <t>Warnung, wenn der Überdruck nicht reicht.</t>
        </is>
      </c>
      <c r="F30" s="6" t="inlineStr">
        <is>
          <t>Soll</t>
        </is>
      </c>
      <c r="G30" s="6" t="inlineStr">
        <is>
          <t>Teilweise</t>
        </is>
      </c>
      <c r="H30" s="6" t="inlineStr">
        <is>
          <t>Nutzer 13.10.2026 (Version 0.1)</t>
        </is>
      </c>
      <c r="I30" s="6">
        <f>COUNTIF(Tests!$C$4:$C$300,"*"&amp;A30&amp;"*")</f>
        <v/>
      </c>
    </row>
    <row r="31">
      <c r="A31" s="7" t="inlineStr">
        <is>
          <t>AER-01</t>
        </is>
      </c>
      <c r="B31" s="7" t="inlineStr">
        <is>
          <t>Aerodynamik</t>
        </is>
      </c>
      <c r="C31" s="7" t="inlineStr">
        <is>
          <t>Widerstand</t>
        </is>
      </c>
      <c r="D31" s="7" t="inlineStr">
        <is>
          <t>Widerstand aus Volumen hoch 2/3 und Beiwert, abhängig von Form (L/D), Anbauten (Gondel, Leitwerk, Motoren) und Reynolds-Zahl (Größenkorrektur für kleine, langsame Schiffe).</t>
        </is>
      </c>
      <c r="E31" s="7" t="inlineStr">
        <is>
          <t>C-7 und Los Angeles: berechnete Höchstgeschwindigkeit bei gegebener Leistung innerhalb 10 % der Burgess-Angabe (Ziel).</t>
        </is>
      </c>
      <c r="F31" s="7" t="inlineStr">
        <is>
          <t>Muss</t>
        </is>
      </c>
      <c r="G31" s="7" t="inlineStr">
        <is>
          <t>Getestet</t>
        </is>
      </c>
      <c r="H31" s="7" t="inlineStr">
        <is>
          <t>Nutzer 13.10.2026 (Version 0.1)</t>
        </is>
      </c>
      <c r="I31" s="7">
        <f>COUNTIF(Tests!$C$4:$C$300,"*"&amp;A31&amp;"*")</f>
        <v/>
      </c>
    </row>
    <row r="32">
      <c r="A32" s="6" t="inlineStr">
        <is>
          <t>AER-02</t>
        </is>
      </c>
      <c r="B32" s="6" t="inlineStr">
        <is>
          <t>Aerodynamik</t>
        </is>
      </c>
      <c r="C32" s="6" t="inlineStr">
        <is>
          <t>Dynamischer Auftrieb</t>
        </is>
      </c>
      <c r="D32" s="6" t="inlineStr">
        <is>
          <t>Anstellwinkel des Rumpfes erzeugt Auftrieb bzw. Abtrieb; damit lässt sich Schwere oder Leichte ausgleichen.</t>
        </is>
      </c>
      <c r="E32" s="6" t="inlineStr">
        <is>
          <t>Anzeige „x kg schwer ⇒ Nase +y°“ plausibel.</t>
        </is>
      </c>
      <c r="F32" s="6" t="inlineStr">
        <is>
          <t>Muss</t>
        </is>
      </c>
      <c r="G32" s="6" t="inlineStr">
        <is>
          <t>Umgesetzt</t>
        </is>
      </c>
      <c r="H32" s="6" t="inlineStr">
        <is>
          <t>Nutzer 13.10.2026 (Version 0.1)</t>
        </is>
      </c>
      <c r="I32" s="6">
        <f>COUNTIF(Tests!$C$4:$C$300,"*"&amp;A32&amp;"*")</f>
        <v/>
      </c>
    </row>
    <row r="33">
      <c r="A33" s="7" t="inlineStr">
        <is>
          <t>AER-03</t>
        </is>
      </c>
      <c r="B33" s="7" t="inlineStr">
        <is>
          <t>Aerodynamik</t>
        </is>
      </c>
      <c r="C33" s="7" t="inlineStr">
        <is>
          <t>Leitwerk im Überschlag</t>
        </is>
      </c>
      <c r="D33" s="7" t="inlineStr">
        <is>
          <t>Leitwerksfläche und Flossenlast nach Burgess (über Volumen hoch 2/3); genaue Auslegung später (AirshipLAB zurückgestellt). Zahl der Flossen 1 bis 6, Anordnung Kreuz, X oder Y. Bei nur einer Finne kein Höhenruder: Höhe dann über Schub, Ballast und Gas.</t>
        </is>
      </c>
      <c r="E33" s="7" t="inlineStr">
        <is>
          <t>Eine Finne: Höhenruder-Bedienung im Fahrbildschirm ausgeblendet.</t>
        </is>
      </c>
      <c r="F33" s="7" t="inlineStr">
        <is>
          <t>Muss</t>
        </is>
      </c>
      <c r="G33" s="7" t="inlineStr">
        <is>
          <t>Umgesetzt</t>
        </is>
      </c>
      <c r="H33" s="7" t="inlineStr">
        <is>
          <t>Nutzer 13.10.2026 (Version 0.1)</t>
        </is>
      </c>
      <c r="I33" s="7">
        <f>COUNTIF(Tests!$C$4:$C$300,"*"&amp;A33&amp;"*")</f>
        <v/>
      </c>
    </row>
    <row r="34">
      <c r="A34" s="6" t="inlineStr">
        <is>
          <t>AER-04</t>
        </is>
      </c>
      <c r="B34" s="6" t="inlineStr">
        <is>
          <t>Aerodynamik</t>
        </is>
      </c>
      <c r="C34" s="6" t="inlineStr">
        <is>
          <t>Leitwerk erweitert</t>
        </is>
      </c>
      <c r="D34" s="6" t="inlineStr">
        <is>
          <t>Bis 8 Flossen (ZMC-2), eine Flosse unten, V und umgekehrtes V, Zuspitzung und Pfeilung bis 75°, Flächengewicht des Leitwerks, Lage des Leitwerks längs verschiebbar; Bemessung nach Jones (Munk-Moment, Hebelarm). Ruder als Klappe oder Pendelleitwerk.</t>
        </is>
      </c>
      <c r="E34" s="6" t="inlineStr">
        <is>
          <t>Alle Formen in Vorschau und Rechnung.</t>
        </is>
      </c>
      <c r="F34" s="6" t="inlineStr">
        <is>
          <t>Muss</t>
        </is>
      </c>
      <c r="G34" s="6" t="inlineStr">
        <is>
          <t>Umgesetzt</t>
        </is>
      </c>
      <c r="H34" s="6" t="inlineStr">
        <is>
          <t>Nutzer 13.10.2026</t>
        </is>
      </c>
      <c r="I34" s="6">
        <f>COUNTIF(Tests!$C$4:$C$300,"*"&amp;A34&amp;"*")</f>
        <v/>
      </c>
    </row>
    <row r="35">
      <c r="A35" s="7" t="inlineStr">
        <is>
          <t>AER-05</t>
        </is>
      </c>
      <c r="B35" s="7" t="inlineStr">
        <is>
          <t>Aerodynamik</t>
        </is>
      </c>
      <c r="C35" s="7" t="inlineStr">
        <is>
          <t>Trimm und Trimmwiderstand</t>
        </is>
      </c>
      <c r="D35" s="7" t="inlineStr">
        <is>
          <t>Trimm aus Lage der Massen und der Schublinie; aufnickendes Moment tief liegender Motoren (Blimp) wird mit dem Höhenruder ausgeglichen und erzeugt induzierten Widerstand.</t>
        </is>
      </c>
      <c r="E35" s="7" t="inlineStr">
        <is>
          <t>Trimmwinkel und Mehrwiderstand im Rechenweg.</t>
        </is>
      </c>
      <c r="F35" s="7" t="inlineStr">
        <is>
          <t>Muss</t>
        </is>
      </c>
      <c r="G35" s="7" t="inlineStr">
        <is>
          <t>Umgesetzt</t>
        </is>
      </c>
      <c r="H35" s="7" t="inlineStr">
        <is>
          <t>Nutzer 13.10.2026</t>
        </is>
      </c>
      <c r="I35" s="7">
        <f>COUNTIF(Tests!$C$4:$C$300,"*"&amp;A35&amp;"*")</f>
        <v/>
      </c>
    </row>
    <row r="36">
      <c r="A36" s="6" t="inlineStr">
        <is>
          <t>ANT-01</t>
        </is>
      </c>
      <c r="B36" s="6" t="inlineStr">
        <is>
          <t>Antrieb</t>
        </is>
      </c>
      <c r="C36" s="6" t="inlineStr">
        <is>
          <t>Antriebsarten</t>
        </is>
      </c>
      <c r="D36" s="6" t="inlineStr">
        <is>
          <t>Elektro (Akku), Verbrenner (Kraftstoff, Schiff wird leichter), Hybrid, Solar.</t>
        </is>
      </c>
      <c r="E36" s="6" t="inlineStr">
        <is>
          <t>Jede Art liefert Masse, Leistung, Energie und Verbrauch.</t>
        </is>
      </c>
      <c r="F36" s="6" t="inlineStr">
        <is>
          <t>Muss</t>
        </is>
      </c>
      <c r="G36" s="6" t="inlineStr">
        <is>
          <t>Teilweise</t>
        </is>
      </c>
      <c r="H36" s="6" t="inlineStr">
        <is>
          <t>Nutzer 13.10.2026 (Version 0.1)</t>
        </is>
      </c>
      <c r="I36" s="6">
        <f>COUNTIF(Tests!$C$4:$C$300,"*"&amp;A36&amp;"*")</f>
        <v/>
      </c>
    </row>
    <row r="37">
      <c r="A37" s="7" t="inlineStr">
        <is>
          <t>ANT-02</t>
        </is>
      </c>
      <c r="B37" s="7" t="inlineStr">
        <is>
          <t>Antrieb</t>
        </is>
      </c>
      <c r="C37" s="7" t="inlineStr">
        <is>
          <t>Leistungsgleichung nach Burgess</t>
        </is>
      </c>
      <c r="D37" s="7" t="inlineStr">
        <is>
          <t>Leistung = v³ · ρ · V^(2/3) / K mit dem Gesamtwirkungsgrad K (Burgess: Starr ≈ 63,5; Blimp ≈ 40); daraus Vorschlag für Leistung und Propeller.</t>
        </is>
      </c>
      <c r="E37" s="7" t="inlineStr">
        <is>
          <t>Beispielaufgaben 1 und 4 aus Burgess Kap. II werden nachgerechnet.</t>
        </is>
      </c>
      <c r="F37" s="7" t="inlineStr">
        <is>
          <t>Muss</t>
        </is>
      </c>
      <c r="G37" s="7" t="inlineStr">
        <is>
          <t>Getestet</t>
        </is>
      </c>
      <c r="H37" s="7" t="inlineStr">
        <is>
          <t>Nutzer 13.10.2026 (Version 0.1)</t>
        </is>
      </c>
      <c r="I37" s="7">
        <f>COUNTIF(Tests!$C$4:$C$300,"*"&amp;A37&amp;"*")</f>
        <v/>
      </c>
    </row>
    <row r="38">
      <c r="A38" s="6" t="inlineStr">
        <is>
          <t>ANT-03</t>
        </is>
      </c>
      <c r="B38" s="6" t="inlineStr">
        <is>
          <t>Antrieb</t>
        </is>
      </c>
      <c r="C38" s="6" t="inlineStr">
        <is>
          <t>Lage und Zahl der Motoren</t>
        </is>
      </c>
      <c r="D38" s="6" t="inlineStr">
        <is>
          <t>Zahl, Lage (an der Gondel, am Rumpf, am Heck) und Schwenkbarkeit; Propellerdurchmesser aus Leistung und Drehzahl.</t>
        </is>
      </c>
      <c r="E38" s="6" t="inlineStr">
        <is>
          <t>Vorschau zeigt Motoren an der gewählten Stelle.</t>
        </is>
      </c>
      <c r="F38" s="6" t="inlineStr">
        <is>
          <t>Soll</t>
        </is>
      </c>
      <c r="G38" s="6" t="inlineStr">
        <is>
          <t>Umgesetzt</t>
        </is>
      </c>
      <c r="H38" s="6" t="inlineStr">
        <is>
          <t>Nutzer 13.10.2026 (Version 0.1)</t>
        </is>
      </c>
      <c r="I38" s="6">
        <f>COUNTIF(Tests!$C$4:$C$300,"*"&amp;A38&amp;"*")</f>
        <v/>
      </c>
    </row>
    <row r="39">
      <c r="A39" s="7" t="inlineStr">
        <is>
          <t>ANT-04</t>
        </is>
      </c>
      <c r="B39" s="7" t="inlineStr">
        <is>
          <t>Antrieb</t>
        </is>
      </c>
      <c r="C39" s="7" t="inlineStr">
        <is>
          <t>Regel für Motorgondeln</t>
        </is>
      </c>
      <c r="D39" s="7" t="inlineStr">
        <is>
          <t>Motoren werden immer paarweise angenommen (links/rechts auf gleicher Längslage). Bei ungerader Zahl sitzt ein Motor mittig in der Querachse unter der Hülle. Sonderfall: ein Motorpaar hintereinander in einer Gondel mit einem Propeller (LZ 120, dritte Motorgondel); Zeppelin NT mit Heckmotor.</t>
        </is>
      </c>
      <c r="E39" s="7" t="inlineStr">
        <is>
          <t>LZ 120 zeigt 3 Motorgondeln, NT den Heckmotor.</t>
        </is>
      </c>
      <c r="F39" s="7" t="inlineStr">
        <is>
          <t>Muss</t>
        </is>
      </c>
      <c r="G39" s="7" t="inlineStr">
        <is>
          <t>Umgesetzt</t>
        </is>
      </c>
      <c r="H39" s="7" t="inlineStr">
        <is>
          <t>Nutzer 13.10.2026</t>
        </is>
      </c>
      <c r="I39" s="7">
        <f>COUNTIF(Tests!$C$4:$C$300,"*"&amp;A39&amp;"*")</f>
        <v/>
      </c>
    </row>
    <row r="40">
      <c r="A40" s="6" t="inlineStr">
        <is>
          <t>ANT-05</t>
        </is>
      </c>
      <c r="B40" s="6" t="inlineStr">
        <is>
          <t>Antrieb</t>
        </is>
      </c>
      <c r="C40" s="6" t="inlineStr">
        <is>
          <t>Lage von Motorgondeln, Tanks und Akkus wählbar</t>
        </is>
      </c>
      <c r="D40" s="6" t="inlineStr">
        <is>
          <t>Längslage der Motorgondeln und der Tanks/Akkus ist wählbar; Kraftstoff bei Starrschiffen neben den Laufgängen. Die Lage geht in Trimm und Schwerpunkt ein.</t>
        </is>
      </c>
      <c r="E40" s="6" t="inlineStr">
        <is>
          <t>Verschieben ändert den Trimm.</t>
        </is>
      </c>
      <c r="F40" s="6" t="inlineStr">
        <is>
          <t>Muss</t>
        </is>
      </c>
      <c r="G40" s="6" t="inlineStr">
        <is>
          <t>Umgesetzt</t>
        </is>
      </c>
      <c r="H40" s="6" t="inlineStr">
        <is>
          <t>Nutzer 13.10.2026</t>
        </is>
      </c>
      <c r="I40" s="6">
        <f>COUNTIF(Tests!$C$4:$C$300,"*"&amp;A40&amp;"*")</f>
        <v/>
      </c>
    </row>
    <row r="41">
      <c r="A41" s="7" t="inlineStr">
        <is>
          <t>VOR-01</t>
        </is>
      </c>
      <c r="B41" s="7" t="inlineStr">
        <is>
          <t>Vorschau</t>
        </is>
      </c>
      <c r="C41" s="7" t="inlineStr">
        <is>
          <t>3D-Vorschau drehbar und zoombar</t>
        </is>
      </c>
      <c r="D41" s="7" t="inlineStr">
        <is>
          <t>3D-Ansicht des Luftschiffs, dreht sich selbst; mit einem Finger in jede Richtung drehbar, mit zwei Fingern zoombar; nach kurzer Pause dreht sie wieder selbst.</t>
        </is>
      </c>
      <c r="E41" s="7" t="inlineStr">
        <is>
          <t>Am Handy flüssig (mindestens 30 Bilder/s).</t>
        </is>
      </c>
      <c r="F41" s="7" t="inlineStr">
        <is>
          <t>Muss</t>
        </is>
      </c>
      <c r="G41" s="7" t="inlineStr">
        <is>
          <t>Umgesetzt</t>
        </is>
      </c>
      <c r="H41" s="7" t="inlineStr">
        <is>
          <t>Nutzer 13.10.2026 (Version 0.1)</t>
        </is>
      </c>
      <c r="I41" s="7">
        <f>COUNTIF(Tests!$C$4:$C$300,"*"&amp;A41&amp;"*")</f>
        <v/>
      </c>
    </row>
    <row r="42">
      <c r="A42" s="6" t="inlineStr">
        <is>
          <t>VOR-02</t>
        </is>
      </c>
      <c r="B42" s="6" t="inlineStr">
        <is>
          <t>Vorschau</t>
        </is>
      </c>
      <c r="C42" s="6" t="inlineStr">
        <is>
          <t>Darstellung nach Bauweise</t>
        </is>
      </c>
      <c r="D42" s="6" t="inlineStr">
        <is>
          <t>Nur Starrluftschiffe zeigen die Längsstriche des Gerüsts auf der Hülle; Blimp und Halbstarr haben eine glatte Hülle. Gondel, Leitwerk (Zahl und Anordnung der Flossen), Motoren, Propeller und Appendix werden wie gewählt dargestellt.</t>
        </is>
      </c>
      <c r="E42" s="6" t="inlineStr">
        <is>
          <t>Jede Bauweise und jede Flossenzahl sieht im Bild richtig aus.</t>
        </is>
      </c>
      <c r="F42" s="6" t="inlineStr">
        <is>
          <t>Muss</t>
        </is>
      </c>
      <c r="G42" s="6" t="inlineStr">
        <is>
          <t>Umgesetzt</t>
        </is>
      </c>
      <c r="H42" s="6" t="inlineStr">
        <is>
          <t>Nutzer 13.10.2026 (Version 0.1)</t>
        </is>
      </c>
      <c r="I42" s="6">
        <f>COUNTIF(Tests!$C$4:$C$300,"*"&amp;A42&amp;"*")</f>
        <v/>
      </c>
    </row>
    <row r="43">
      <c r="A43" s="7" t="inlineStr">
        <is>
          <t>VOR-03</t>
        </is>
      </c>
      <c r="B43" s="7" t="inlineStr">
        <is>
          <t>Vorschau</t>
        </is>
      </c>
      <c r="C43" s="7" t="inlineStr">
        <is>
          <t>Gondel nach Seitenriss</t>
        </is>
      </c>
      <c r="D43" s="7" t="inlineStr">
        <is>
          <t>Gondelform Stromlinie, Tropfen oder Kasten; Bug fällt steil von der Hülle ab; Fensterband und Cockpitfenster am Gondelbug; beim Blimp Abstand zur Hülle mit Leinen; Motorgondeln in Größe nach Leistung.</t>
        </is>
      </c>
      <c r="E43" s="7" t="inlineStr">
        <is>
          <t>Bild entspricht dem gewählten Seitenriss.</t>
        </is>
      </c>
      <c r="F43" s="7" t="inlineStr">
        <is>
          <t>Muss</t>
        </is>
      </c>
      <c r="G43" s="7" t="inlineStr">
        <is>
          <t>Umgesetzt</t>
        </is>
      </c>
      <c r="H43" s="7" t="inlineStr">
        <is>
          <t>Nutzer 13.10.2026; Cockpitfenster Nutzer 14.10.2026</t>
        </is>
      </c>
      <c r="I43" s="7">
        <f>COUNTIF(Tests!$C$4:$C$300,"*"&amp;A43&amp;"*")</f>
        <v/>
      </c>
    </row>
    <row r="44">
      <c r="A44" s="6" t="inlineStr">
        <is>
          <t>VOR-04</t>
        </is>
      </c>
      <c r="B44" s="6" t="inlineStr">
        <is>
          <t>Vorschau</t>
        </is>
      </c>
      <c r="C44" s="6" t="inlineStr">
        <is>
          <t>Schnittansicht</t>
        </is>
      </c>
      <c r="D44" s="6" t="inlineStr">
        <is>
          <t>Umschaltbare Schnittansicht mit Gerüst, Gaszellen, Ballonets und Kiel.</t>
        </is>
      </c>
      <c r="E44" s="6" t="inlineStr">
        <is>
          <t>Schalter „Schnitt“ wirkt bei allen Bauweisen.</t>
        </is>
      </c>
      <c r="F44" s="6" t="inlineStr">
        <is>
          <t>Muss</t>
        </is>
      </c>
      <c r="G44" s="6" t="inlineStr">
        <is>
          <t>Umgesetzt</t>
        </is>
      </c>
      <c r="H44" s="6" t="inlineStr">
        <is>
          <t>Nutzer 13.10.2026</t>
        </is>
      </c>
      <c r="I44" s="6">
        <f>COUNTIF(Tests!$C$4:$C$300,"*"&amp;A44&amp;"*")</f>
        <v/>
      </c>
    </row>
    <row r="45">
      <c r="A45" s="7" t="inlineStr">
        <is>
          <t>VOR-05</t>
        </is>
      </c>
      <c r="B45" s="7" t="inlineStr">
        <is>
          <t>Vorschau</t>
        </is>
      </c>
      <c r="C45" s="7" t="inlineStr">
        <is>
          <t>Selbstdrehung schaltbar</t>
        </is>
      </c>
      <c r="D45" s="7" t="inlineStr">
        <is>
          <t>Die automatische Drehung der Vorschau lässt sich aus- und einschalten.</t>
        </is>
      </c>
      <c r="E45" s="7" t="inlineStr">
        <is>
          <t>Schalter „Drehen“.</t>
        </is>
      </c>
      <c r="F45" s="7" t="inlineStr">
        <is>
          <t>Muss</t>
        </is>
      </c>
      <c r="G45" s="7" t="inlineStr">
        <is>
          <t>Umgesetzt</t>
        </is>
      </c>
      <c r="H45" s="7" t="inlineStr">
        <is>
          <t>Nutzer 13.10.2026</t>
        </is>
      </c>
      <c r="I45" s="7">
        <f>COUNTIF(Tests!$C$4:$C$300,"*"&amp;A45&amp;"*")</f>
        <v/>
      </c>
    </row>
    <row r="46">
      <c r="A46" s="6" t="inlineStr">
        <is>
          <t>VOR-06</t>
        </is>
      </c>
      <c r="B46" s="6" t="inlineStr">
        <is>
          <t>Vorschau</t>
        </is>
      </c>
      <c r="C46" s="6" t="inlineStr">
        <is>
          <t>Gondelleinen weit gespreizt</t>
        </is>
      </c>
      <c r="D46" s="6" t="inlineStr">
        <is>
          <t>Beim Blimp (z. B. C-7) greifen die Gondelleinen an der Hülle zwischen 25 % und 75 % der Schiffslänge an.</t>
        </is>
      </c>
      <c r="E46" s="6" t="inlineStr">
        <is>
          <t>Bild wie Entwurf vom 14.10.</t>
        </is>
      </c>
      <c r="F46" s="6" t="inlineStr">
        <is>
          <t>Muss</t>
        </is>
      </c>
      <c r="G46" s="6" t="inlineStr">
        <is>
          <t>Umgesetzt</t>
        </is>
      </c>
      <c r="H46" s="6" t="inlineStr">
        <is>
          <t>Nutzer 14.10.2026</t>
        </is>
      </c>
      <c r="I46" s="6">
        <f>COUNTIF(Tests!$C$4:$C$300,"*"&amp;A46&amp;"*")</f>
        <v/>
      </c>
    </row>
    <row r="47">
      <c r="A47" s="7" t="inlineStr">
        <is>
          <t>SPE-01</t>
        </is>
      </c>
      <c r="B47" s="7" t="inlineStr">
        <is>
          <t>Speichern</t>
        </is>
      </c>
      <c r="C47" s="7" t="inlineStr">
        <is>
          <t>Schlanker Speicher-Code</t>
        </is>
      </c>
      <c r="D47" s="7" t="inlineStr">
        <is>
          <t>Ein Luftschiff wird als kurzer, lesbarer Text gespeichert (z. B. „LS1|B:P|G:H2|V:2000|…“). Nur Entscheidungen werden gespeichert, Ergebnisse rechnet die App neu. Nicht angegebene Werte gelten als Vorschlag. Mit Versionskennung.</t>
        </is>
      </c>
      <c r="E47" s="7" t="inlineStr">
        <is>
          <t>Code passt in eine Nachricht oder einen QR-Code; Laden ergibt dasselbe Schiff.</t>
        </is>
      </c>
      <c r="F47" s="7" t="inlineStr">
        <is>
          <t>Muss</t>
        </is>
      </c>
      <c r="G47" s="7" t="inlineStr">
        <is>
          <t>Getestet</t>
        </is>
      </c>
      <c r="H47" s="7" t="inlineStr">
        <is>
          <t>Nutzer 13.10.2026 (Version 0.1)</t>
        </is>
      </c>
      <c r="I47" s="7">
        <f>COUNTIF(Tests!$C$4:$C$300,"*"&amp;A47&amp;"*")</f>
        <v/>
      </c>
    </row>
    <row r="48">
      <c r="A48" s="6" t="inlineStr">
        <is>
          <t>SPE-02</t>
        </is>
      </c>
      <c r="B48" s="6" t="inlineStr">
        <is>
          <t>Speichern</t>
        </is>
      </c>
      <c r="C48" s="6" t="inlineStr">
        <is>
          <t>Eigene Luftschiffe speichern</t>
        </is>
      </c>
      <c r="D48" s="6" t="inlineStr">
        <is>
          <t>Eigene Luftschiffe lassen sich auf dem Gerät speichern, kopieren und teilen.</t>
        </is>
      </c>
      <c r="E48" s="6" t="inlineStr">
        <is>
          <t>Gespeichertes Schiff nach Neustart wieder da.</t>
        </is>
      </c>
      <c r="F48" s="6" t="inlineStr">
        <is>
          <t>Muss</t>
        </is>
      </c>
      <c r="G48" s="6" t="inlineStr">
        <is>
          <t>Umgesetzt</t>
        </is>
      </c>
      <c r="H48" s="6" t="inlineStr">
        <is>
          <t>Nutzer 13.10.2026 (Version 0.1)</t>
        </is>
      </c>
      <c r="I48" s="6">
        <f>COUNTIF(Tests!$C$4:$C$300,"*"&amp;A48&amp;"*")</f>
        <v/>
      </c>
    </row>
    <row r="49">
      <c r="A49" s="7" t="inlineStr">
        <is>
          <t>SPE-03</t>
        </is>
      </c>
      <c r="B49" s="7" t="inlineStr">
        <is>
          <t>Speichern</t>
        </is>
      </c>
      <c r="C49" s="7" t="inlineStr">
        <is>
          <t>Speicher-Code zukunftssicher und als Datei</t>
        </is>
      </c>
      <c r="D49" s="7" t="inlineStr">
        <is>
          <t>Ältere Codes bleiben in neuen Versionen lesbar (eingefrorene Prüf-Codes); Code und Fahrtbericht lassen sich als Textdatei sichern.</t>
        </is>
      </c>
      <c r="E49" s="7" t="inlineStr">
        <is>
          <t>Prüfung 05 ohne Abweichung.</t>
        </is>
      </c>
      <c r="F49" s="7" t="inlineStr">
        <is>
          <t>Muss</t>
        </is>
      </c>
      <c r="G49" s="7" t="inlineStr">
        <is>
          <t>Getestet</t>
        </is>
      </c>
      <c r="H49" s="7" t="inlineStr">
        <is>
          <t>Nutzer 14.10.2026</t>
        </is>
      </c>
      <c r="I49" s="7">
        <f>COUNTIF(Tests!$C$4:$C$300,"*"&amp;A49&amp;"*")</f>
        <v/>
      </c>
    </row>
    <row r="50">
      <c r="A50" s="6" t="inlineStr">
        <is>
          <t>MOD-01</t>
        </is>
      </c>
      <c r="B50" s="6" t="inlineStr">
        <is>
          <t>Modelle</t>
        </is>
      </c>
      <c r="C50" s="6" t="inlineStr">
        <is>
          <t>Feste Auswahl</t>
        </is>
      </c>
      <c r="D50" s="6" t="inlineStr">
        <is>
          <t>Starr: USS Los Angeles (LZ 126), LZ 120 „Bodensee“ (kurze Fassung 1919), LZ 129 „Hindenburg“. Halbstarr: N-1 „Norge“, Zeppelin NT 07. Blimp: US Navy C-7 (H₂), Skyship 600. Klein: LuffiHopper (2.000 m³ H₂, offen, länglicher Korb, 2 E-Antriebe), RC-Blimp (0,5 m³, He, Tritax).</t>
        </is>
      </c>
      <c r="E50" s="6" t="inlineStr">
        <is>
          <t>Alle 9 Modelle im Blatt Modelle beschrieben und in der App wählbar.</t>
        </is>
      </c>
      <c r="F50" s="6" t="inlineStr">
        <is>
          <t>Muss</t>
        </is>
      </c>
      <c r="G50" s="6" t="inlineStr">
        <is>
          <t>Umgesetzt</t>
        </is>
      </c>
      <c r="H50" s="6" t="inlineStr">
        <is>
          <t>Nutzer 13.10.2026 (Version 0.1)</t>
        </is>
      </c>
      <c r="I50" s="6">
        <f>COUNTIF(Tests!$C$4:$C$300,"*"&amp;A50&amp;"*")</f>
        <v/>
      </c>
    </row>
    <row r="51">
      <c r="A51" s="7" t="inlineStr">
        <is>
          <t>MOD-02</t>
        </is>
      </c>
      <c r="B51" s="7" t="inlineStr">
        <is>
          <t>Modelle</t>
        </is>
      </c>
      <c r="C51" s="7" t="inlineStr">
        <is>
          <t>Annahmen dokumentiert</t>
        </is>
      </c>
      <c r="D51" s="7" t="inlineStr">
        <is>
          <t>Wo Daten fehlen (v. a. LZ 120), werden Annahmen gemeinsam festgelegt und im Plan dokumentiert.</t>
        </is>
      </c>
      <c r="E51" s="7" t="inlineStr">
        <is>
          <t>Blatt Modelle nennt Quelle oder Annahme je Wert.</t>
        </is>
      </c>
      <c r="F51" s="7" t="inlineStr">
        <is>
          <t>Muss</t>
        </is>
      </c>
      <c r="G51" s="7" t="inlineStr">
        <is>
          <t>Teilweise</t>
        </is>
      </c>
      <c r="H51" s="7" t="inlineStr">
        <is>
          <t>Nutzer 13.10.2026 (Version 0.1)</t>
        </is>
      </c>
      <c r="I51" s="7">
        <f>COUNTIF(Tests!$C$4:$C$300,"*"&amp;A51&amp;"*")</f>
        <v/>
      </c>
    </row>
    <row r="52">
      <c r="A52" s="6" t="inlineStr">
        <is>
          <t>FAH-01</t>
        </is>
      </c>
      <c r="B52" s="6" t="inlineStr">
        <is>
          <t>Fahrt</t>
        </is>
      </c>
      <c r="C52" s="6" t="inlineStr">
        <is>
          <t>Selbst fliegen</t>
        </is>
      </c>
      <c r="D52" s="6" t="inlineStr">
        <is>
          <t>Steuerung: Schub, links/rechts (Seitenruder), hoch/runter (Höhenruder), Trimm, Ballast abwerfen, Gas ablassen (wenn vorgesehen).</t>
        </is>
      </c>
      <c r="E52" s="6" t="inlineStr">
        <is>
          <t>Alle Bedienelemente wirken auf die Physik.</t>
        </is>
      </c>
      <c r="F52" s="6" t="inlineStr">
        <is>
          <t>Muss</t>
        </is>
      </c>
      <c r="G52" s="6" t="inlineStr">
        <is>
          <t>Umgesetzt</t>
        </is>
      </c>
      <c r="H52" s="6" t="inlineStr">
        <is>
          <t>Nutzer 13.10.2026 (Version 0.1)</t>
        </is>
      </c>
      <c r="I52" s="6">
        <f>COUNTIF(Tests!$C$4:$C$300,"*"&amp;A52&amp;"*")</f>
        <v/>
      </c>
    </row>
    <row r="53">
      <c r="A53" s="7" t="inlineStr">
        <is>
          <t>FAH-02</t>
        </is>
      </c>
      <c r="B53" s="7" t="inlineStr">
        <is>
          <t>Fahrt</t>
        </is>
      </c>
      <c r="C53" s="7" t="inlineStr">
        <is>
          <t>Startarten</t>
        </is>
      </c>
      <c r="D53" s="7" t="inlineStr">
        <is>
          <t>Start mit Schub, mit Ballast oder mit beidem. Vor dem Start zeigt die App die statische Bilanz (schwer/leicht).</t>
        </is>
      </c>
      <c r="E53" s="7" t="inlineStr">
        <is>
          <t>Alle drei Startarten möglich.</t>
        </is>
      </c>
      <c r="F53" s="7" t="inlineStr">
        <is>
          <t>Muss</t>
        </is>
      </c>
      <c r="G53" s="7" t="inlineStr">
        <is>
          <t>Umgesetzt</t>
        </is>
      </c>
      <c r="H53" s="7" t="inlineStr">
        <is>
          <t>Nutzer 13.10.2026 (Version 0.1)</t>
        </is>
      </c>
      <c r="I53" s="7">
        <f>COUNTIF(Tests!$C$4:$C$300,"*"&amp;A53&amp;"*")</f>
        <v/>
      </c>
    </row>
    <row r="54">
      <c r="A54" s="6" t="inlineStr">
        <is>
          <t>FAH-03</t>
        </is>
      </c>
      <c r="B54" s="6" t="inlineStr">
        <is>
          <t>Fahrt</t>
        </is>
      </c>
      <c r="C54" s="6" t="inlineStr">
        <is>
          <t>Flugphysik</t>
        </is>
      </c>
      <c r="D54" s="6" t="inlineStr">
        <is>
          <t>Statischer Auftrieb, dynamischer Auftrieb, Widerstand, Schub, Wind, Trägheit mit zusätzlicher Masse (Burgess), Gaserwärmung durch Sonne, Kraftstoffverbrauch macht leichter, Akku nicht.</t>
        </is>
      </c>
      <c r="E54" s="6" t="inlineStr">
        <is>
          <t>Physik-Tests des Kerns.</t>
        </is>
      </c>
      <c r="F54" s="6" t="inlineStr">
        <is>
          <t>Muss</t>
        </is>
      </c>
      <c r="G54" s="6" t="inlineStr">
        <is>
          <t>Getestet</t>
        </is>
      </c>
      <c r="H54" s="6" t="inlineStr">
        <is>
          <t>Nutzer 13.10.2026 (Version 0.1)</t>
        </is>
      </c>
      <c r="I54" s="6">
        <f>COUNTIF(Tests!$C$4:$C$300,"*"&amp;A54&amp;"*")</f>
        <v/>
      </c>
    </row>
    <row r="55">
      <c r="A55" s="7" t="inlineStr">
        <is>
          <t>FAH-04</t>
        </is>
      </c>
      <c r="B55" s="7" t="inlineStr">
        <is>
          <t>Fahrt</t>
        </is>
      </c>
      <c r="C55" s="7" t="inlineStr">
        <is>
          <t>Zeitraffer</t>
        </is>
      </c>
      <c r="D55" s="7" t="inlineStr">
        <is>
          <t>Zeitraffer ×1, ×5, ×10, ×50, ×100, ×500, ×1000; intern kleinere Rechenschritte, damit die Physik stabil bleibt.</t>
        </is>
      </c>
      <c r="E55" s="7" t="inlineStr">
        <is>
          <t>Bei ×1000 kein Aufschwingen der Physik.</t>
        </is>
      </c>
      <c r="F55" s="7" t="inlineStr">
        <is>
          <t>Muss</t>
        </is>
      </c>
      <c r="G55" s="7" t="inlineStr">
        <is>
          <t>Getestet</t>
        </is>
      </c>
      <c r="H55" s="7" t="inlineStr">
        <is>
          <t>Nutzer 13.10.2026 (Version 0.1)</t>
        </is>
      </c>
      <c r="I55" s="7">
        <f>COUNTIF(Tests!$C$4:$C$300,"*"&amp;A55&amp;"*")</f>
        <v/>
      </c>
    </row>
    <row r="56">
      <c r="A56" s="6" t="inlineStr">
        <is>
          <t>FAH-05</t>
        </is>
      </c>
      <c r="B56" s="6" t="inlineStr">
        <is>
          <t>Fahrt</t>
        </is>
      </c>
      <c r="C56" s="6" t="inlineStr">
        <is>
          <t>Seitenansicht bei der Landung</t>
        </is>
      </c>
      <c r="D56" s="6" t="inlineStr">
        <is>
          <t>Unter 100 m über Grund erscheint automatisch ein Seitenprofil des Luftschiffs mit Boden, Höhe und Sinkrate. Jederzeit ein- und ausblendbar; die Automatik lässt sich abschalten.</t>
        </is>
      </c>
      <c r="E56" s="6" t="inlineStr">
        <is>
          <t>Erscheint unter 100 m; Schalter wirken.</t>
        </is>
      </c>
      <c r="F56" s="6" t="inlineStr">
        <is>
          <t>Muss</t>
        </is>
      </c>
      <c r="G56" s="6" t="inlineStr">
        <is>
          <t>Umgesetzt</t>
        </is>
      </c>
      <c r="H56" s="6" t="inlineStr">
        <is>
          <t>Nutzer 13.10.2026 (Version 0.1)</t>
        </is>
      </c>
      <c r="I56" s="6">
        <f>COUNTIF(Tests!$C$4:$C$300,"*"&amp;A56&amp;"*")</f>
        <v/>
      </c>
    </row>
    <row r="57">
      <c r="A57" s="7" t="inlineStr">
        <is>
          <t>FAH-06</t>
        </is>
      </c>
      <c r="B57" s="7" t="inlineStr">
        <is>
          <t>Fahrt</t>
        </is>
      </c>
      <c r="C57" s="7" t="inlineStr">
        <is>
          <t>Landung</t>
        </is>
      </c>
      <c r="D57" s="7" t="inlineStr">
        <is>
          <t>Landung mit Sinkgeschwindigkeit; später Haltetrupp bzw. Mast.</t>
        </is>
      </c>
      <c r="E57" s="7" t="inlineStr">
        <is>
          <t>Landegeschwindigkeit in der Auswertung.</t>
        </is>
      </c>
      <c r="F57" s="7" t="inlineStr">
        <is>
          <t>Muss</t>
        </is>
      </c>
      <c r="G57" s="7" t="inlineStr">
        <is>
          <t>Getestet</t>
        </is>
      </c>
      <c r="H57" s="7" t="inlineStr">
        <is>
          <t>Nutzer 13.10.2026 (Version 0.1)</t>
        </is>
      </c>
      <c r="I57" s="7">
        <f>COUNTIF(Tests!$C$4:$C$300,"*"&amp;A57&amp;"*")</f>
        <v/>
      </c>
    </row>
    <row r="58">
      <c r="A58" s="6" t="inlineStr">
        <is>
          <t>FAH-07</t>
        </is>
      </c>
      <c r="B58" s="6" t="inlineStr">
        <is>
          <t>Fahrt</t>
        </is>
      </c>
      <c r="C58" s="6" t="inlineStr">
        <is>
          <t>Zeitraffer und Boost</t>
        </is>
      </c>
      <c r="D58" s="6" t="inlineStr">
        <is>
          <t>×1 läuft in Echtzeit (nicht wie Pause); Boost für sehr schnellen Vorlauf; bei Zeitraffer über ×10 wird während Steuer-, Gas- oder Ballasteingaben vorübergehend auf ×10 gedrosselt und danach zurückgestellt.</t>
        </is>
      </c>
      <c r="E58" s="6" t="inlineStr">
        <is>
          <t>Uhr läuft bei ×1; Drosselung sichtbar.</t>
        </is>
      </c>
      <c r="F58" s="6" t="inlineStr">
        <is>
          <t>Muss</t>
        </is>
      </c>
      <c r="G58" s="6" t="inlineStr">
        <is>
          <t>Getestet</t>
        </is>
      </c>
      <c r="H58" s="6" t="inlineStr">
        <is>
          <t>Nutzer 14.10.2026</t>
        </is>
      </c>
      <c r="I58" s="6">
        <f>COUNTIF(Tests!$C$4:$C$300,"*"&amp;A58&amp;"*")</f>
        <v/>
      </c>
    </row>
    <row r="59">
      <c r="A59" s="7" t="inlineStr">
        <is>
          <t>FAH-08</t>
        </is>
      </c>
      <c r="B59" s="7" t="inlineStr">
        <is>
          <t>Fahrt</t>
        </is>
      </c>
      <c r="C59" s="7" t="inlineStr">
        <is>
          <t>Schub mit exponentieller Kennlinie</t>
        </is>
      </c>
      <c r="D59" s="7" t="inlineStr">
        <is>
          <t>Der Schubregler ist exponentiell: die ersten 10 % des Weges sind sehr fein einstellbar.</t>
        </is>
      </c>
      <c r="E59" s="7" t="inlineStr">
        <is>
          <t>Kleiner Schub feinfühlig einstellbar.</t>
        </is>
      </c>
      <c r="F59" s="7" t="inlineStr">
        <is>
          <t>Muss</t>
        </is>
      </c>
      <c r="G59" s="7" t="inlineStr">
        <is>
          <t>Umgesetzt</t>
        </is>
      </c>
      <c r="H59" s="7" t="inlineStr">
        <is>
          <t>Nutzer 14.10.2026</t>
        </is>
      </c>
      <c r="I59" s="7">
        <f>COUNTIF(Tests!$C$4:$C$300,"*"&amp;A59&amp;"*")</f>
        <v/>
      </c>
    </row>
    <row r="60">
      <c r="A60" s="6" t="inlineStr">
        <is>
          <t>FAH-09</t>
        </is>
      </c>
      <c r="B60" s="6" t="inlineStr">
        <is>
          <t>Fahrt</t>
        </is>
      </c>
      <c r="C60" s="6" t="inlineStr">
        <is>
          <t>Mehrere gespeicherte Fahrten</t>
        </is>
      </c>
      <c r="D60" s="6" t="inlineStr">
        <is>
          <t>Mehrere laufende Fahrten (höchstens 10) werden auf dem Gerät gespeichert; Liste mit Fortsetzen, Teilen und Löschen; Hinweis, wenn der Speicher voll ist, und wann Fahrten verloren gehen können (Browserdaten, iPhone nach 7 Tagen ohne Installation).</t>
        </is>
      </c>
      <c r="E60" s="6" t="inlineStr">
        <is>
          <t>Fortsetzen nach Neustart.</t>
        </is>
      </c>
      <c r="F60" s="6" t="inlineStr">
        <is>
          <t>Muss</t>
        </is>
      </c>
      <c r="G60" s="6" t="inlineStr">
        <is>
          <t>Getestet</t>
        </is>
      </c>
      <c r="H60" s="6" t="inlineStr">
        <is>
          <t>Nutzer 14.10.2026</t>
        </is>
      </c>
      <c r="I60" s="6">
        <f>COUNTIF(Tests!$C$4:$C$300,"*"&amp;A60&amp;"*")</f>
        <v/>
      </c>
    </row>
    <row r="61">
      <c r="A61" s="7" t="inlineStr">
        <is>
          <t>FAH-10</t>
        </is>
      </c>
      <c r="B61" s="7" t="inlineStr">
        <is>
          <t>Fahrt</t>
        </is>
      </c>
      <c r="C61" s="7" t="inlineStr">
        <is>
          <t>Fahrt jederzeit beenden</t>
        </is>
      </c>
      <c r="D61" s="7" t="inlineStr">
        <is>
          <t>Jederzeit Abfrage: Weiterfahren, Speichern (unterbrechen) oder Beenden (mit Bericht).</t>
        </is>
      </c>
      <c r="E61" s="7" t="inlineStr">
        <is>
          <t>Alle drei Wege wirken.</t>
        </is>
      </c>
      <c r="F61" s="7" t="inlineStr">
        <is>
          <t>Muss</t>
        </is>
      </c>
      <c r="G61" s="7" t="inlineStr">
        <is>
          <t>Getestet</t>
        </is>
      </c>
      <c r="H61" s="7" t="inlineStr">
        <is>
          <t>Nutzer 14.10.2026</t>
        </is>
      </c>
      <c r="I61" s="7">
        <f>COUNTIF(Tests!$C$4:$C$300,"*"&amp;A61&amp;"*")</f>
        <v/>
      </c>
    </row>
    <row r="62">
      <c r="A62" s="6" t="inlineStr">
        <is>
          <t>FAH-11</t>
        </is>
      </c>
      <c r="B62" s="6" t="inlineStr">
        <is>
          <t>Fahrt</t>
        </is>
      </c>
      <c r="C62" s="6" t="inlineStr">
        <is>
          <t>Höhensteuerer und Fahrt halten vorerst ausgeblendet</t>
        </is>
      </c>
      <c r="D62" s="6" t="inlineStr">
        <is>
          <t>Die Knöpfe „Höhensteuerer“ und „Fahrt halten“ sind vorerst nicht sichtbar.</t>
        </is>
      </c>
      <c r="E62" s="6" t="inlineStr">
        <is>
          <t>Knöpfe nicht sichtbar.</t>
        </is>
      </c>
      <c r="F62" s="6" t="inlineStr">
        <is>
          <t>Muss</t>
        </is>
      </c>
      <c r="G62" s="6" t="inlineStr">
        <is>
          <t>Umgesetzt</t>
        </is>
      </c>
      <c r="H62" s="6" t="inlineStr">
        <is>
          <t>Nutzer 14.10.2026</t>
        </is>
      </c>
      <c r="I62" s="6">
        <f>COUNTIF(Tests!$C$4:$C$300,"*"&amp;A62&amp;"*")</f>
        <v/>
      </c>
    </row>
    <row r="63">
      <c r="A63" s="7" t="inlineStr">
        <is>
          <t>FAH-12</t>
        </is>
      </c>
      <c r="B63" s="7" t="inlineStr">
        <is>
          <t>Fahrt</t>
        </is>
      </c>
      <c r="C63" s="7" t="inlineStr">
        <is>
          <t>Konsole am Handy minimierbar</t>
        </is>
      </c>
      <c r="D63" s="7" t="inlineStr">
        <is>
          <t>Die Bedienkonsole lässt sich zu einem kleinen Fenster mit Knüppel, Schub, Gas, Ballast sowie „Trimm Bug“ und „Trimm Heck“ verkleinern; Aufklappen zeigt alles.</t>
        </is>
      </c>
      <c r="E63" s="7" t="inlineStr">
        <is>
          <t>Karte am Handy weitgehend frei.</t>
        </is>
      </c>
      <c r="F63" s="7" t="inlineStr">
        <is>
          <t>Muss</t>
        </is>
      </c>
      <c r="G63" s="7" t="inlineStr">
        <is>
          <t>Getestet</t>
        </is>
      </c>
      <c r="H63" s="7" t="inlineStr">
        <is>
          <t>Nutzer 14.10.2026</t>
        </is>
      </c>
      <c r="I63" s="7">
        <f>COUNTIF(Tests!$C$4:$C$300,"*"&amp;A63&amp;"*")</f>
        <v/>
      </c>
    </row>
    <row r="64">
      <c r="A64" s="6" t="inlineStr">
        <is>
          <t>FAH-13</t>
        </is>
      </c>
      <c r="B64" s="6" t="inlineStr">
        <is>
          <t>Fahrt</t>
        </is>
      </c>
      <c r="C64" s="6" t="inlineStr">
        <is>
          <t>Steuerung mit Tastatur</t>
        </is>
      </c>
      <c r="D64" s="6" t="inlineStr">
        <is>
          <t>Pfeiltasten und weitere Tasten steuern das Schiff; der Knüppel zeigt die Eingabe an.</t>
        </is>
      </c>
      <c r="E64" s="6" t="inlineStr">
        <is>
          <t>Knüppel bewegt sich bei Tastendruck.</t>
        </is>
      </c>
      <c r="F64" s="6" t="inlineStr">
        <is>
          <t>Muss</t>
        </is>
      </c>
      <c r="G64" s="6" t="inlineStr">
        <is>
          <t>Getestet</t>
        </is>
      </c>
      <c r="H64" s="6" t="inlineStr">
        <is>
          <t>Nutzer 13.10.2026, Nutzer 14.10.2026</t>
        </is>
      </c>
      <c r="I64" s="6">
        <f>COUNTIF(Tests!$C$4:$C$300,"*"&amp;A64&amp;"*")</f>
        <v/>
      </c>
    </row>
    <row r="65">
      <c r="A65" s="7" t="inlineStr">
        <is>
          <t>FAH-14</t>
        </is>
      </c>
      <c r="B65" s="7" t="inlineStr">
        <is>
          <t>Fahrt</t>
        </is>
      </c>
      <c r="C65" s="7" t="inlineStr">
        <is>
          <t>Kurs halten über Grund</t>
        </is>
      </c>
      <c r="D65" s="7" t="inlineStr">
        <is>
          <t>Kurs halten hält den Kurs über Grund mit Vorhaltewinkel gegen Seitenwind.</t>
        </is>
      </c>
      <c r="E65" s="7" t="inlineStr">
        <is>
          <t>Prüfung 04: Kurs über Grund 0° bei 10 m/s Seitenwind.</t>
        </is>
      </c>
      <c r="F65" s="7" t="inlineStr">
        <is>
          <t>Muss</t>
        </is>
      </c>
      <c r="G65" s="7" t="inlineStr">
        <is>
          <t>Getestet</t>
        </is>
      </c>
      <c r="H65" s="7" t="inlineStr">
        <is>
          <t>Nutzer 14.10.2026</t>
        </is>
      </c>
      <c r="I65" s="7">
        <f>COUNTIF(Tests!$C$4:$C$300,"*"&amp;A65&amp;"*")</f>
        <v/>
      </c>
    </row>
    <row r="66">
      <c r="A66" s="6" t="inlineStr">
        <is>
          <t>ANZ-01</t>
        </is>
      </c>
      <c r="B66" s="6" t="inlineStr">
        <is>
          <t>Anzeige</t>
        </is>
      </c>
      <c r="C66" s="6" t="inlineStr">
        <is>
          <t>Anzeigen während der Fahrt</t>
        </is>
      </c>
      <c r="D66" s="6" t="inlineStr">
        <is>
          <t>Höhe, Steigrate, Fahrt durch die Luft, Fahrt über Grund, Bilanz schwer/leicht mit nötigem Anstellwinkel, Füllgrad mit Prallhöhe, Energie mit Restzeit, Ballast; auf der Karte Kurs (Nase) und Weg über Grund, maßstäbliches Schiff.</t>
        </is>
      </c>
      <c r="E66" s="6" t="inlineStr">
        <is>
          <t>Alle Werte sichtbar am Handy.</t>
        </is>
      </c>
      <c r="F66" s="6" t="inlineStr">
        <is>
          <t>Muss</t>
        </is>
      </c>
      <c r="G66" s="6" t="inlineStr">
        <is>
          <t>Umgesetzt</t>
        </is>
      </c>
      <c r="H66" s="6" t="inlineStr">
        <is>
          <t>Nutzer 13.10.2026 (Version 0.1)</t>
        </is>
      </c>
      <c r="I66" s="6">
        <f>COUNTIF(Tests!$C$4:$C$300,"*"&amp;A66&amp;"*")</f>
        <v/>
      </c>
    </row>
    <row r="67">
      <c r="A67" s="7" t="inlineStr">
        <is>
          <t>ANZ-02</t>
        </is>
      </c>
      <c r="B67" s="7" t="inlineStr">
        <is>
          <t>Anzeige</t>
        </is>
      </c>
      <c r="C67" s="7" t="inlineStr">
        <is>
          <t>Rückkehr-Reichweite</t>
        </is>
      </c>
      <c r="D67" s="7" t="inlineStr">
        <is>
          <t>Auf der Karte ein Bereich, aus dem man mit der Restenergie bei aktuellem Wind noch zum Start zurückkommt, und die Uhrzeit „Umkehren bis“.</t>
        </is>
      </c>
      <c r="E67" s="7" t="inlineStr">
        <is>
          <t>Bereich ändert sich mit Wind und Energie.</t>
        </is>
      </c>
      <c r="F67" s="7" t="inlineStr">
        <is>
          <t>Muss</t>
        </is>
      </c>
      <c r="G67" s="7" t="inlineStr">
        <is>
          <t>Offen</t>
        </is>
      </c>
      <c r="H67" s="7" t="inlineStr">
        <is>
          <t>Nutzer 13.10.2026 (Version 0.1)</t>
        </is>
      </c>
      <c r="I67" s="7">
        <f>COUNTIF(Tests!$C$4:$C$300,"*"&amp;A67&amp;"*")</f>
        <v/>
      </c>
    </row>
    <row r="68">
      <c r="A68" s="6" t="inlineStr">
        <is>
          <t>ANZ-03</t>
        </is>
      </c>
      <c r="B68" s="6" t="inlineStr">
        <is>
          <t>Anzeige</t>
        </is>
      </c>
      <c r="C68" s="6" t="inlineStr">
        <is>
          <t>Auswertung</t>
        </is>
      </c>
      <c r="D68" s="6" t="inlineStr">
        <is>
          <t>Nach der Landung: Dauer, Strecke über Grund und durch die Luft, Restenergie, Restballast, Landegeschwindigkeit, Verlauf (Höhe, Energie, Geschwindigkeit), Vergleich mit den Eckdaten des Baukastens mit Begründung, gezählte Warnungen; „Zum Baukasten“.</t>
        </is>
      </c>
      <c r="E68" s="6" t="inlineStr">
        <is>
          <t>Auswertung nach jeder Fahrt.</t>
        </is>
      </c>
      <c r="F68" s="6" t="inlineStr">
        <is>
          <t>Muss</t>
        </is>
      </c>
      <c r="G68" s="6" t="inlineStr">
        <is>
          <t>Umgesetzt</t>
        </is>
      </c>
      <c r="H68" s="6" t="inlineStr">
        <is>
          <t>Nutzer 13.10.2026 (Version 0.1)</t>
        </is>
      </c>
      <c r="I68" s="6">
        <f>COUNTIF(Tests!$C$4:$C$300,"*"&amp;A68&amp;"*")</f>
        <v/>
      </c>
    </row>
    <row r="69">
      <c r="A69" s="7" t="inlineStr">
        <is>
          <t>ANZ-04</t>
        </is>
      </c>
      <c r="B69" s="7" t="inlineStr">
        <is>
          <t>Anzeige</t>
        </is>
      </c>
      <c r="C69" s="7" t="inlineStr">
        <is>
          <t>Anzeigen wie Gasballon mit Fliegerbegriffen</t>
        </is>
      </c>
      <c r="D69" s="7" t="inlineStr">
        <is>
          <t>AGL, MSL, TAS, GS, VS, HDG, TRK, PITCH, WIND; TAS groß neben der Höhe, GS grau darunter; Anzeige minimierbar.</t>
        </is>
      </c>
      <c r="E69" s="7" t="inlineStr">
        <is>
          <t>Abnahme durch den Nutzer.</t>
        </is>
      </c>
      <c r="F69" s="7" t="inlineStr">
        <is>
          <t>Muss</t>
        </is>
      </c>
      <c r="G69" s="7" t="inlineStr">
        <is>
          <t>Umgesetzt</t>
        </is>
      </c>
      <c r="H69" s="7" t="inlineStr">
        <is>
          <t>Nutzer 14.10.2026</t>
        </is>
      </c>
      <c r="I69" s="7">
        <f>COUNTIF(Tests!$C$4:$C$300,"*"&amp;A69&amp;"*")</f>
        <v/>
      </c>
    </row>
    <row r="70">
      <c r="A70" s="6" t="inlineStr">
        <is>
          <t>ANZ-05</t>
        </is>
      </c>
      <c r="B70" s="6" t="inlineStr">
        <is>
          <t>Anzeige</t>
        </is>
      </c>
      <c r="C70" s="6" t="inlineStr">
        <is>
          <t>Beschleunigungsbalken</t>
        </is>
      </c>
      <c r="D70" s="6" t="inlineStr">
        <is>
          <t>Balken für die senkrechte Beschleunigung (wie beim Gasballon).</t>
        </is>
      </c>
      <c r="E70" s="6" t="inlineStr">
        <is>
          <t>Balken reagiert auf Ballast/Gas.</t>
        </is>
      </c>
      <c r="F70" s="6" t="inlineStr">
        <is>
          <t>Muss</t>
        </is>
      </c>
      <c r="G70" s="6" t="inlineStr">
        <is>
          <t>Umgesetzt</t>
        </is>
      </c>
      <c r="H70" s="6" t="inlineStr">
        <is>
          <t>Nutzer 14.10.2026</t>
        </is>
      </c>
      <c r="I70" s="6">
        <f>COUNTIF(Tests!$C$4:$C$300,"*"&amp;A70&amp;"*")</f>
        <v/>
      </c>
    </row>
    <row r="71">
      <c r="A71" s="7" t="inlineStr">
        <is>
          <t>ANZ-06</t>
        </is>
      </c>
      <c r="B71" s="7" t="inlineStr">
        <is>
          <t>Anzeige</t>
        </is>
      </c>
      <c r="C71" s="7" t="inlineStr">
        <is>
          <t>Seitenansicht mit 3D-Modell, jederzeit einblendbar</t>
        </is>
      </c>
      <c r="D71" s="7" t="inlineStr">
        <is>
          <t>Die Seitenansicht zeigt das Schiff als Bild aus dem 3D-Modell mit Nickwinkel und kann während der Fahrt jederzeit wieder eingeblendet werden.</t>
        </is>
      </c>
      <c r="E71" s="7" t="inlineStr">
        <is>
          <t>Knopf blendet ein.</t>
        </is>
      </c>
      <c r="F71" s="7" t="inlineStr">
        <is>
          <t>Muss</t>
        </is>
      </c>
      <c r="G71" s="7" t="inlineStr">
        <is>
          <t>Umgesetzt</t>
        </is>
      </c>
      <c r="H71" s="7" t="inlineStr">
        <is>
          <t>Nutzer 14.10.2026</t>
        </is>
      </c>
      <c r="I71" s="7">
        <f>COUNTIF(Tests!$C$4:$C$300,"*"&amp;A71&amp;"*")</f>
        <v/>
      </c>
    </row>
    <row r="72">
      <c r="A72" s="6" t="inlineStr">
        <is>
          <t>ANZ-07</t>
        </is>
      </c>
      <c r="B72" s="6" t="inlineStr">
        <is>
          <t>Anzeige</t>
        </is>
      </c>
      <c r="C72" s="6" t="inlineStr">
        <is>
          <t>Karte</t>
        </is>
      </c>
      <c r="D72" s="6" t="inlineStr">
        <is>
          <t>Maßstäblicher Schiffsumriss, sanftes Nachführen der Karte (gedämpft), Knopf zum Zentrieren; gefahrener Weg durchgehend, Vorschau der nächsten Stunde gestrichelt.</t>
        </is>
      </c>
      <c r="E72" s="6" t="inlineStr">
        <is>
          <t>Karte folgt ruckfrei.</t>
        </is>
      </c>
      <c r="F72" s="6" t="inlineStr">
        <is>
          <t>Muss</t>
        </is>
      </c>
      <c r="G72" s="6" t="inlineStr">
        <is>
          <t>Umgesetzt</t>
        </is>
      </c>
      <c r="H72" s="6" t="inlineStr">
        <is>
          <t>Nutzer 14.10.2026</t>
        </is>
      </c>
      <c r="I72" s="6">
        <f>COUNTIF(Tests!$C$4:$C$300,"*"&amp;A72&amp;"*")</f>
        <v/>
      </c>
    </row>
    <row r="73">
      <c r="A73" s="7" t="inlineStr">
        <is>
          <t>ANZ-08</t>
        </is>
      </c>
      <c r="B73" s="7" t="inlineStr">
        <is>
          <t>Anzeige</t>
        </is>
      </c>
      <c r="C73" s="7" t="inlineStr">
        <is>
          <t>Vertikalprofil</t>
        </is>
      </c>
      <c r="D73" s="7" t="inlineStr">
        <is>
          <t>Vertikalprofil 3.000–30.000 m wie beim Gasballon (Wind, Temperatur, Taupunkt, Wolken), ausblendbar; Boden dunkelgrau schraffiert mit „Ground“.</t>
        </is>
      </c>
      <c r="E73" s="7" t="inlineStr">
        <is>
          <t>Profil sichtbar und ausblendbar.</t>
        </is>
      </c>
      <c r="F73" s="7" t="inlineStr">
        <is>
          <t>Muss</t>
        </is>
      </c>
      <c r="G73" s="7" t="inlineStr">
        <is>
          <t>Umgesetzt</t>
        </is>
      </c>
      <c r="H73" s="7" t="inlineStr">
        <is>
          <t>Nutzer 14.10.2026</t>
        </is>
      </c>
      <c r="I73" s="7">
        <f>COUNTIF(Tests!$C$4:$C$300,"*"&amp;A73&amp;"*")</f>
        <v/>
      </c>
    </row>
    <row r="74">
      <c r="A74" s="6" t="inlineStr">
        <is>
          <t>ANZ-09</t>
        </is>
      </c>
      <c r="B74" s="6" t="inlineStr">
        <is>
          <t>Anzeige</t>
        </is>
      </c>
      <c r="C74" s="6" t="inlineStr">
        <is>
          <t>Fahrtbericht mit Orten und CO₂</t>
        </is>
      </c>
      <c r="D74" s="6" t="inlineStr">
        <is>
          <t>Bericht mit nächstem Ort bei Start und Ende (OpenStreetMap Nominatim), CO₂-Ausstoß (Kraftstoff bzw. Strom) und Vergleich mit einem A320-Flug Berlin–Hamburg; als Textdatei.</t>
        </is>
      </c>
      <c r="E74" s="6" t="inlineStr">
        <is>
          <t>Bericht nennt Orte und CO₂.</t>
        </is>
      </c>
      <c r="F74" s="6" t="inlineStr">
        <is>
          <t>Muss</t>
        </is>
      </c>
      <c r="G74" s="6" t="inlineStr">
        <is>
          <t>Getestet</t>
        </is>
      </c>
      <c r="H74" s="6" t="inlineStr">
        <is>
          <t>Nutzer 14.10.2026</t>
        </is>
      </c>
      <c r="I74" s="6">
        <f>COUNTIF(Tests!$C$4:$C$300,"*"&amp;A74&amp;"*")</f>
        <v/>
      </c>
    </row>
    <row r="75">
      <c r="A75" s="7" t="inlineStr">
        <is>
          <t>ANZ-10</t>
        </is>
      </c>
      <c r="B75" s="7" t="inlineStr">
        <is>
          <t>Anzeige</t>
        </is>
      </c>
      <c r="C75" s="7" t="inlineStr">
        <is>
          <t>Fahrtbericht als Bild teilen</t>
        </is>
      </c>
      <c r="D75" s="7" t="inlineStr">
        <is>
          <t>Bild mit dem Luftschiff schräg von vorn unten als Schnittansicht (Innenleben sichtbar) und darunter dem Bericht in Schreibmaschinenschrift; Teilen über das Teilen-Menü des Geräts oder Download.</t>
        </is>
      </c>
      <c r="E75" s="7" t="inlineStr">
        <is>
          <t>Bild wird erzeugt und geteilt.</t>
        </is>
      </c>
      <c r="F75" s="7" t="inlineStr">
        <is>
          <t>Muss</t>
        </is>
      </c>
      <c r="G75" s="7" t="inlineStr">
        <is>
          <t>Getestet</t>
        </is>
      </c>
      <c r="H75" s="7" t="inlineStr">
        <is>
          <t>Nutzer 14.10.2026</t>
        </is>
      </c>
      <c r="I75" s="7">
        <f>COUNTIF(Tests!$C$4:$C$300,"*"&amp;A75&amp;"*")</f>
        <v/>
      </c>
    </row>
    <row r="76">
      <c r="A76" s="6" t="inlineStr">
        <is>
          <t>AUT-01</t>
        </is>
      </c>
      <c r="B76" s="6" t="inlineStr">
        <is>
          <t>Automatik</t>
        </is>
      </c>
      <c r="C76" s="6" t="inlineStr">
        <is>
          <t>Assistenten</t>
        </is>
      </c>
      <c r="D76" s="6" t="inlineStr">
        <is>
          <t>Höhe halten, Kurs halten, Tempomat, Position halten.</t>
        </is>
      </c>
      <c r="E76" s="6" t="inlineStr">
        <is>
          <t>Jeder Assistent hält seinen Wert bei echtem Wind.</t>
        </is>
      </c>
      <c r="F76" s="6" t="inlineStr">
        <is>
          <t>Muss</t>
        </is>
      </c>
      <c r="G76" s="6" t="inlineStr">
        <is>
          <t>Getestet</t>
        </is>
      </c>
      <c r="H76" s="6" t="inlineStr">
        <is>
          <t>Nutzer 13.10.2026 (Version 0.1)</t>
        </is>
      </c>
      <c r="I76" s="6">
        <f>COUNTIF(Tests!$C$4:$C$300,"*"&amp;A76&amp;"*")</f>
        <v/>
      </c>
    </row>
    <row r="77">
      <c r="A77" s="7" t="inlineStr">
        <is>
          <t>AUT-02</t>
        </is>
      </c>
      <c r="B77" s="7" t="inlineStr">
        <is>
          <t>Automatik</t>
        </is>
      </c>
      <c r="C77" s="7" t="inlineStr">
        <is>
          <t>Position halten (Stadion-Aufgabe)</t>
        </is>
      </c>
      <c r="D77" s="7" t="inlineStr">
        <is>
          <t>Beispiel: 90 min über einem Stadion bleiben mit 1 kg Kamera, danach zurückfliegen. Zeigt, ob ein elektrisches Luftschiff das schafft.</t>
        </is>
      </c>
      <c r="E77" s="7" t="inlineStr">
        <is>
          <t>Aufgabe fahrbar und gewertet.</t>
        </is>
      </c>
      <c r="F77" s="7" t="inlineStr">
        <is>
          <t>Muss</t>
        </is>
      </c>
      <c r="G77" s="7" t="inlineStr">
        <is>
          <t>Teilweise</t>
        </is>
      </c>
      <c r="H77" s="7" t="inlineStr">
        <is>
          <t>Nutzer 13.10.2026 (Version 0.1)</t>
        </is>
      </c>
      <c r="I77" s="7">
        <f>COUNTIF(Tests!$C$4:$C$300,"*"&amp;A77&amp;"*")</f>
        <v/>
      </c>
    </row>
    <row r="78">
      <c r="A78" s="6" t="inlineStr">
        <is>
          <t>AUT-03</t>
        </is>
      </c>
      <c r="B78" s="6" t="inlineStr">
        <is>
          <t>Automatik</t>
        </is>
      </c>
      <c r="C78" s="6" t="inlineStr">
        <is>
          <t>Missionsplanung</t>
        </is>
      </c>
      <c r="D78" s="6" t="inlineStr">
        <is>
          <t>Wegpunkte auf der Karte mit Höhe, Geschwindigkeit und Aktion (x min Position halten, kreisen, landen); Failsafe: Rückkehr bei Energie unter x % oder wenn die Restenergie bei aktuellem Gegenwind gerade noch reicht. Mission vorab durchrechnen und live verfolgen. Vorbild iNav/ArduPilot.</t>
        </is>
      </c>
      <c r="E78" s="6" t="inlineStr">
        <is>
          <t>Mission mit drei Wegpunkten und Failsafe fliegt selbstständig.</t>
        </is>
      </c>
      <c r="F78" s="6" t="inlineStr">
        <is>
          <t>Soll</t>
        </is>
      </c>
      <c r="G78" s="6" t="inlineStr">
        <is>
          <t>Offen</t>
        </is>
      </c>
      <c r="H78" s="6" t="inlineStr">
        <is>
          <t>Nutzer 13.10.2026 (Version 0.1)</t>
        </is>
      </c>
      <c r="I78" s="6">
        <f>COUNTIF(Tests!$C$4:$C$300,"*"&amp;A78&amp;"*")</f>
        <v/>
      </c>
    </row>
    <row r="79">
      <c r="A79" s="7" t="inlineStr">
        <is>
          <t>AUF-01</t>
        </is>
      </c>
      <c r="B79" s="7" t="inlineStr">
        <is>
          <t>Aufgaben</t>
        </is>
      </c>
      <c r="C79" s="7" t="inlineStr">
        <is>
          <t>Freie Fahrt als Schwerpunkt</t>
        </is>
      </c>
      <c r="D79" s="7" t="inlineStr">
        <is>
          <t>Freie Fahrt steht an erster Stelle.</t>
        </is>
      </c>
      <c r="E79" s="7" t="inlineStr">
        <is>
          <t>Erster Eintrag im Startbildschirm.</t>
        </is>
      </c>
      <c r="F79" s="7" t="inlineStr">
        <is>
          <t>Muss</t>
        </is>
      </c>
      <c r="G79" s="7" t="inlineStr">
        <is>
          <t>Offen</t>
        </is>
      </c>
      <c r="H79" s="7" t="inlineStr">
        <is>
          <t>Nutzer 13.10.2026 (Version 0.1)</t>
        </is>
      </c>
      <c r="I79" s="7">
        <f>COUNTIF(Tests!$C$4:$C$300,"*"&amp;A79&amp;"*")</f>
        <v/>
      </c>
    </row>
    <row r="80">
      <c r="A80" s="6" t="inlineStr">
        <is>
          <t>AUF-02</t>
        </is>
      </c>
      <c r="B80" s="6" t="inlineStr">
        <is>
          <t>Aufgaben</t>
        </is>
      </c>
      <c r="C80" s="6" t="inlineStr">
        <is>
          <t>Allgemeine Aufgaben</t>
        </is>
      </c>
      <c r="D80" s="6" t="inlineStr">
        <is>
          <t>Ausdauer, Zurück zum Start, Von A nach B, Position halten.</t>
        </is>
      </c>
      <c r="E80" s="6" t="inlineStr">
        <is>
          <t>Jede Aufgabe gewertet.</t>
        </is>
      </c>
      <c r="F80" s="6" t="inlineStr">
        <is>
          <t>Soll</t>
        </is>
      </c>
      <c r="G80" s="6" t="inlineStr">
        <is>
          <t>Offen</t>
        </is>
      </c>
      <c r="H80" s="6" t="inlineStr">
        <is>
          <t>Nutzer 13.10.2026 (Version 0.1)</t>
        </is>
      </c>
      <c r="I80" s="6">
        <f>COUNTIF(Tests!$C$4:$C$300,"*"&amp;A80&amp;"*")</f>
        <v/>
      </c>
    </row>
    <row r="81">
      <c r="A81" s="7" t="inlineStr">
        <is>
          <t>AUF-03</t>
        </is>
      </c>
      <c r="B81" s="7" t="inlineStr">
        <is>
          <t>Aufgaben</t>
        </is>
      </c>
      <c r="C81" s="7" t="inlineStr">
        <is>
          <t>Historische Szenarien</t>
        </is>
      </c>
      <c r="D81" s="7" t="inlineStr">
        <is>
          <t>LZ 129 Frankfurt → Lakehurst; LZ 120 Friedrichshafen → Berlin-Staaken; Zeppelin NT: möglichst viele Sehenswürdigkeiten am Bodensee in 1 h (z. B. Meersburg, Mainau, Lindau, Pfahlbauten; zählt bei Vorbeiflug nah genug und tief genug).</t>
        </is>
      </c>
      <c r="E81" s="7" t="inlineStr">
        <is>
          <t>Alle drei Szenarien fahrbar.</t>
        </is>
      </c>
      <c r="F81" s="7" t="inlineStr">
        <is>
          <t>Soll</t>
        </is>
      </c>
      <c r="G81" s="7" t="inlineStr">
        <is>
          <t>Offen</t>
        </is>
      </c>
      <c r="H81" s="7" t="inlineStr">
        <is>
          <t>Nutzer 13.10.2026 (Version 0.1)</t>
        </is>
      </c>
      <c r="I81" s="7">
        <f>COUNTIF(Tests!$C$4:$C$300,"*"&amp;A81&amp;"*")</f>
        <v/>
      </c>
    </row>
    <row r="82">
      <c r="A82" s="6" t="inlineStr">
        <is>
          <t>MET-01</t>
        </is>
      </c>
      <c r="B82" s="6" t="inlineStr">
        <is>
          <t>Wetter</t>
        </is>
      </c>
      <c r="C82" s="6" t="inlineStr">
        <is>
          <t>Ort wählen</t>
        </is>
      </c>
      <c r="D82" s="6" t="inlineStr">
        <is>
          <t>Wunschort auf der Karte, aktueller Ort per GPS, Standard Flughafen Friedrichshafen.</t>
        </is>
      </c>
      <c r="E82" s="6" t="inlineStr">
        <is>
          <t>Alle drei Wege funktionieren.</t>
        </is>
      </c>
      <c r="F82" s="6" t="inlineStr">
        <is>
          <t>Muss</t>
        </is>
      </c>
      <c r="G82" s="6" t="inlineStr">
        <is>
          <t>Umgesetzt</t>
        </is>
      </c>
      <c r="H82" s="6" t="inlineStr">
        <is>
          <t>Nutzer 13.10.2026 (Version 0.1)</t>
        </is>
      </c>
      <c r="I82" s="6">
        <f>COUNTIF(Tests!$C$4:$C$300,"*"&amp;A82&amp;"*")</f>
        <v/>
      </c>
    </row>
    <row r="83">
      <c r="A83" s="7" t="inlineStr">
        <is>
          <t>MET-02</t>
        </is>
      </c>
      <c r="B83" s="7" t="inlineStr">
        <is>
          <t>Wetter</t>
        </is>
      </c>
      <c r="C83" s="7" t="inlineStr">
        <is>
          <t>Echtes Wetter</t>
        </is>
      </c>
      <c r="D83" s="7" t="inlineStr">
        <is>
          <t>Aktuelles Wetter von Open-Meteo für den Ort des Schiffs, entlang der Fahrt nachgeladen.</t>
        </is>
      </c>
      <c r="E83" s="7" t="inlineStr">
        <is>
          <t>Wetter wechselt bei langer Fahrt.</t>
        </is>
      </c>
      <c r="F83" s="7" t="inlineStr">
        <is>
          <t>Muss</t>
        </is>
      </c>
      <c r="G83" s="7" t="inlineStr">
        <is>
          <t>Umgesetzt</t>
        </is>
      </c>
      <c r="H83" s="7" t="inlineStr">
        <is>
          <t>Nutzer 13.10.2026 (Version 0.1)</t>
        </is>
      </c>
      <c r="I83" s="7">
        <f>COUNTIF(Tests!$C$4:$C$300,"*"&amp;A83&amp;"*")</f>
        <v/>
      </c>
    </row>
    <row r="84">
      <c r="A84" s="6" t="inlineStr">
        <is>
          <t>MET-03</t>
        </is>
      </c>
      <c r="B84" s="6" t="inlineStr">
        <is>
          <t>Wetter</t>
        </is>
      </c>
      <c r="C84" s="6" t="inlineStr">
        <is>
          <t>Ruhig, mittel, extrem je Ort</t>
        </is>
      </c>
      <c r="D84" s="6" t="inlineStr">
        <is>
          <t>Nach Wahl des Ortes: ruhiges, mittleres oder extremes Wetter, abgeleitet aus dem Wetterarchiv des Ortes (z. B. ruhigste 10 %, typischer Tag, windigste 5 % der Tage).</t>
        </is>
      </c>
      <c r="E84" s="6" t="inlineStr">
        <is>
          <t>Küstenort ergibt rauere Werte als Friedrichshafen.</t>
        </is>
      </c>
      <c r="F84" s="6" t="inlineStr">
        <is>
          <t>Muss</t>
        </is>
      </c>
      <c r="G84" s="6" t="inlineStr">
        <is>
          <t>Offen</t>
        </is>
      </c>
      <c r="H84" s="6" t="inlineStr">
        <is>
          <t>Nutzer 13.10.2026 (Version 0.1)</t>
        </is>
      </c>
      <c r="I84" s="6">
        <f>COUNTIF(Tests!$C$4:$C$300,"*"&amp;A84&amp;"*")</f>
        <v/>
      </c>
    </row>
    <row r="85">
      <c r="A85" s="7" t="inlineStr">
        <is>
          <t>MET-04</t>
        </is>
      </c>
      <c r="B85" s="7" t="inlineStr">
        <is>
          <t>Wetter</t>
        </is>
      </c>
      <c r="C85" s="7" t="inlineStr">
        <is>
          <t>Historisches Datum</t>
        </is>
      </c>
      <c r="D85" s="7" t="inlineStr">
        <is>
          <t>Datum in der Vergangenheit wählen; wo immer das Schiff hinfliegt, wird das Wetter zu diesem Zeitpunkt an diesem Ort geladen. Archiv ab 1940; für frühere Szenarien (1919, 1936) dasselbe Datum aus einem neueren Jahr (z. B. 2025).</t>
        </is>
      </c>
      <c r="E85" s="7" t="inlineStr">
        <is>
          <t>Wetter folgt Ort und Simulationszeit.</t>
        </is>
      </c>
      <c r="F85" s="7" t="inlineStr">
        <is>
          <t>Muss</t>
        </is>
      </c>
      <c r="G85" s="7" t="inlineStr">
        <is>
          <t>Offen</t>
        </is>
      </c>
      <c r="H85" s="7" t="inlineStr">
        <is>
          <t>Nutzer 13.10.2026 (Version 0.1)</t>
        </is>
      </c>
      <c r="I85" s="7">
        <f>COUNTIF(Tests!$C$4:$C$300,"*"&amp;A85&amp;"*")</f>
        <v/>
      </c>
    </row>
    <row r="86">
      <c r="A86" s="6" t="inlineStr">
        <is>
          <t>MET-05</t>
        </is>
      </c>
      <c r="B86" s="6" t="inlineStr">
        <is>
          <t>Wetter</t>
        </is>
      </c>
      <c r="C86" s="6" t="inlineStr">
        <is>
          <t>Herkunft der Wetterdaten sichtbar</t>
        </is>
      </c>
      <c r="D86" s="6" t="inlineStr">
        <is>
          <t>Ein Feld nennt immer, woher und von wann die Daten stammen (Vorhersage, Archivdatum, Ersatzdatum, Szenario mit Ausgangstag).</t>
        </is>
      </c>
      <c r="E86" s="6" t="inlineStr">
        <is>
          <t>Beispiel: „Wetter vom 04.05.2025 (Ersatz für 04.05.1936)“.</t>
        </is>
      </c>
      <c r="F86" s="6" t="inlineStr">
        <is>
          <t>Muss</t>
        </is>
      </c>
      <c r="G86" s="6" t="inlineStr">
        <is>
          <t>Teilweise</t>
        </is>
      </c>
      <c r="H86" s="6" t="inlineStr">
        <is>
          <t>Nutzer 13.10.2026 (Version 0.1)</t>
        </is>
      </c>
      <c r="I86" s="6">
        <f>COUNTIF(Tests!$C$4:$C$300,"*"&amp;A86&amp;"*")</f>
        <v/>
      </c>
    </row>
    <row r="87">
      <c r="A87" s="7" t="inlineStr">
        <is>
          <t>MET-06</t>
        </is>
      </c>
      <c r="B87" s="7" t="inlineStr">
        <is>
          <t>Wetter</t>
        </is>
      </c>
      <c r="C87" s="7" t="inlineStr">
        <is>
          <t>Szenarien</t>
        </is>
      </c>
      <c r="D87" s="7" t="inlineStr">
        <is>
          <t>Windstill, Böig, Thermik, Front, Halle (ohne Wind, für RC-Blimps).</t>
        </is>
      </c>
      <c r="E87" s="7" t="inlineStr">
        <is>
          <t>Jedes Szenario wählbar.</t>
        </is>
      </c>
      <c r="F87" s="7" t="inlineStr">
        <is>
          <t>Soll</t>
        </is>
      </c>
      <c r="G87" s="7" t="inlineStr">
        <is>
          <t>Offen</t>
        </is>
      </c>
      <c r="H87" s="7" t="inlineStr">
        <is>
          <t>Nutzer 13.10.2026 (Version 0.1)</t>
        </is>
      </c>
      <c r="I87" s="7">
        <f>COUNTIF(Tests!$C$4:$C$300,"*"&amp;A87&amp;"*")</f>
        <v/>
      </c>
    </row>
    <row r="88">
      <c r="A88" s="6" t="inlineStr">
        <is>
          <t>MET-07</t>
        </is>
      </c>
      <c r="B88" s="6" t="inlineStr">
        <is>
          <t>Wetter</t>
        </is>
      </c>
      <c r="C88" s="6" t="inlineStr">
        <is>
          <t>Windprofil über 100 m im Archiv</t>
        </is>
      </c>
      <c r="D88" s="6" t="inlineStr">
        <is>
          <t>Das Archiv liefert Wind nur in 10 m und 100 m; darüber wird das Windprofil hochgerechnet. Hinweis in der App, dass es oberhalb von etwa 300–500 m ungenauer wird.</t>
        </is>
      </c>
      <c r="E88" s="6" t="inlineStr">
        <is>
          <t>Hinweis sichtbar bei Archivwetter.</t>
        </is>
      </c>
      <c r="F88" s="6" t="inlineStr">
        <is>
          <t>Muss</t>
        </is>
      </c>
      <c r="G88" s="6" t="inlineStr">
        <is>
          <t>Offen</t>
        </is>
      </c>
      <c r="H88" s="6" t="inlineStr">
        <is>
          <t>Nutzer 13.10.2026 (Version 0.1)</t>
        </is>
      </c>
      <c r="I88" s="6">
        <f>COUNTIF(Tests!$C$4:$C$300,"*"&amp;A88&amp;"*")</f>
        <v/>
      </c>
    </row>
    <row r="89">
      <c r="A89" s="7" t="inlineStr">
        <is>
          <t>NFA-01</t>
        </is>
      </c>
      <c r="B89" s="7" t="inlineStr">
        <is>
          <t>Nichtfunktional</t>
        </is>
      </c>
      <c r="C89" s="7" t="inlineStr">
        <is>
          <t>Web-App am Handy</t>
        </is>
      </c>
      <c r="D89" s="7" t="inlineStr">
        <is>
          <t>Läuft im Browser von Android und iOS, installierbar, Start ohne Netz (Service Worker) wie beim Gasballon.</t>
        </is>
      </c>
      <c r="E89" s="7" t="inlineStr">
        <is>
          <t>Installation auf beiden Systemen.</t>
        </is>
      </c>
      <c r="F89" s="7" t="inlineStr">
        <is>
          <t>Muss</t>
        </is>
      </c>
      <c r="G89" s="7" t="inlineStr">
        <is>
          <t>Umgesetzt</t>
        </is>
      </c>
      <c r="H89" s="7" t="inlineStr">
        <is>
          <t>Nutzer 13.10.2026 (Version 0.1)</t>
        </is>
      </c>
      <c r="I89" s="7">
        <f>COUNTIF(Tests!$C$4:$C$300,"*"&amp;A89&amp;"*")</f>
        <v/>
      </c>
    </row>
    <row r="90">
      <c r="A90" s="6" t="inlineStr">
        <is>
          <t>NFA-02</t>
        </is>
      </c>
      <c r="B90" s="6" t="inlineStr">
        <is>
          <t>Nichtfunktional</t>
        </is>
      </c>
      <c r="C90" s="6" t="inlineStr">
        <is>
          <t>Kommentierter Code</t>
        </is>
      </c>
      <c r="D90" s="6" t="inlineStr">
        <is>
          <t>Code ausführlich kommentiert, damit der Nutzer erkennt, wofür jeder Abschnitt zuständig ist.</t>
        </is>
      </c>
      <c r="E90" s="6" t="inlineStr">
        <is>
          <t>Durchsicht.</t>
        </is>
      </c>
      <c r="F90" s="6" t="inlineStr">
        <is>
          <t>Muss</t>
        </is>
      </c>
      <c r="G90" s="6" t="inlineStr">
        <is>
          <t>Umgesetzt</t>
        </is>
      </c>
      <c r="H90" s="6" t="inlineStr">
        <is>
          <t>Nutzer (allgemeine Vorgabe)</t>
        </is>
      </c>
      <c r="I90" s="6">
        <f>COUNTIF(Tests!$C$4:$C$300,"*"&amp;A90&amp;"*")</f>
        <v/>
      </c>
    </row>
    <row r="91">
      <c r="A91" s="7" t="inlineStr">
        <is>
          <t>NFA-03</t>
        </is>
      </c>
      <c r="B91" s="7" t="inlineStr">
        <is>
          <t>Nichtfunktional</t>
        </is>
      </c>
      <c r="C91" s="7" t="inlineStr">
        <is>
          <t>Rechenkern getrennt testbar</t>
        </is>
      </c>
      <c r="D91" s="7" t="inlineStr">
        <is>
          <t>Rechenkern zwischen Markierungen wie beim Gasballon, als core.js für Node-Tests exportierbar.</t>
        </is>
      </c>
      <c r="E91" s="7" t="inlineStr">
        <is>
          <t>Node-Tests laufen.</t>
        </is>
      </c>
      <c r="F91" s="7" t="inlineStr">
        <is>
          <t>Muss</t>
        </is>
      </c>
      <c r="G91" s="7" t="inlineStr">
        <is>
          <t>Getestet</t>
        </is>
      </c>
      <c r="H91" s="7" t="inlineStr">
        <is>
          <t>Nutzer 13.10.2026 (Version 0.1)</t>
        </is>
      </c>
      <c r="I91" s="7">
        <f>COUNTIF(Tests!$C$4:$C$300,"*"&amp;A91&amp;"*")</f>
        <v/>
      </c>
    </row>
    <row r="92">
      <c r="A92" s="6" t="inlineStr">
        <is>
          <t>NFA-04</t>
        </is>
      </c>
      <c r="B92" s="6" t="inlineStr">
        <is>
          <t>Nichtfunktional</t>
        </is>
      </c>
      <c r="C92" s="6" t="inlineStr">
        <is>
          <t>Gemeinsame Teile mit Gasballon</t>
        </is>
      </c>
      <c r="D92" s="6" t="inlineStr">
        <is>
          <t>Atmosphäre, Wetter, Gelände, Karte sollen gemeinsam genutzt werden, ohne den Gasballon-Stand zu verändern.</t>
        </is>
      </c>
      <c r="E92" s="6" t="inlineStr">
        <is>
          <t>Keine Änderung an Bo-Twins ohne Freigabe.</t>
        </is>
      </c>
      <c r="F92" s="6" t="inlineStr">
        <is>
          <t>Soll</t>
        </is>
      </c>
      <c r="G92" s="6" t="inlineStr">
        <is>
          <t>Offen</t>
        </is>
      </c>
      <c r="H92" s="6" t="inlineStr">
        <is>
          <t>Nutzer 12.10.2026</t>
        </is>
      </c>
      <c r="I92" s="6">
        <f>COUNTIF(Tests!$C$4:$C$300,"*"&amp;A92&amp;"*")</f>
        <v/>
      </c>
    </row>
    <row r="93">
      <c r="A93" s="7" t="inlineStr">
        <is>
          <t>NFA-05</t>
        </is>
      </c>
      <c r="B93" s="7" t="inlineStr">
        <is>
          <t>Nichtfunktional</t>
        </is>
      </c>
      <c r="C93" s="7" t="inlineStr">
        <is>
          <t>Größenbereich</t>
        </is>
      </c>
      <c r="D93" s="7" t="inlineStr">
        <is>
          <t>Rechnung stimmt von 0,25 m³ bis rund 200.000 m³.</t>
        </is>
      </c>
      <c r="E93" s="7" t="inlineStr">
        <is>
          <t>RC-Blimp und LZ 129 liefern plausible Werte.</t>
        </is>
      </c>
      <c r="F93" s="7" t="inlineStr">
        <is>
          <t>Muss</t>
        </is>
      </c>
      <c r="G93" s="7" t="inlineStr">
        <is>
          <t>Getestet</t>
        </is>
      </c>
      <c r="H93" s="7" t="inlineStr">
        <is>
          <t>Nutzer 13.10.2026 (Version 0.1)</t>
        </is>
      </c>
      <c r="I93" s="7">
        <f>COUNTIF(Tests!$C$4:$C$300,"*"&amp;A93&amp;"*")</f>
        <v/>
      </c>
    </row>
  </sheetData>
  <autoFilter ref="A3:I93"/>
  <dataValidations count="2">
    <dataValidation sqref="F4:F293" showDropDown="0" showInputMessage="0" showErrorMessage="0" allowBlank="1" type="list">
      <formula1>"Muss,Soll,Kann"</formula1>
    </dataValidation>
    <dataValidation sqref="G4:G293" showDropDown="0" showInputMessage="0" showErrorMessage="0" allowBlank="1" type="list">
      <formula1>"Offen,In Arbeit,Teilweise,Umgesetzt,Getestet,Zurückgestellt"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7"/>
  <sheetViews>
    <sheetView workbookViewId="0">
      <pane ySplit="3" topLeftCell="A4" activePane="bottomLeft" state="frozen"/>
      <selection pane="bottomLeft" activeCell="A1" sqref="A1"/>
    </sheetView>
  </sheetViews>
  <sheetFormatPr baseColWidth="8" defaultRowHeight="15"/>
  <cols>
    <col width="52" customWidth="1" min="1" max="1"/>
    <col width="36" customWidth="1" min="2" max="2"/>
    <col width="14" customWidth="1" min="3" max="3"/>
    <col width="60" customWidth="1" min="4" max="4"/>
  </cols>
  <sheetData>
    <row r="1">
      <c r="A1" s="1" t="inlineStr">
        <is>
          <t>Parameter</t>
        </is>
      </c>
    </row>
    <row r="2">
      <c r="A2" s="4" t="inlineStr">
        <is>
          <t>Vorgaben und Kennwerte mit Quelle. Blau = vom Nutzer vorgegeben oder änderbar.</t>
        </is>
      </c>
    </row>
    <row r="3">
      <c r="A3" s="5" t="inlineStr">
        <is>
          <t>Parameter</t>
        </is>
      </c>
      <c r="B3" s="5" t="inlineStr">
        <is>
          <t>Wert</t>
        </is>
      </c>
      <c r="C3" s="5" t="inlineStr">
        <is>
          <t>Einheit</t>
        </is>
      </c>
      <c r="D3" s="5" t="inlineStr">
        <is>
          <t>Quelle</t>
        </is>
      </c>
    </row>
    <row r="4">
      <c r="A4" s="6" t="inlineStr">
        <is>
          <t>Volumenbereich, kleinstes Schiff</t>
        </is>
      </c>
      <c r="B4" s="8" t="n">
        <v>0.25</v>
      </c>
      <c r="C4" s="6" t="inlineStr">
        <is>
          <t>m³</t>
        </is>
      </c>
      <c r="D4" s="6" t="inlineStr">
        <is>
          <t>Nutzer 13.10.2026 (Version 0.1) (RC-Blimp)</t>
        </is>
      </c>
    </row>
    <row r="5">
      <c r="A5" s="7" t="inlineStr">
        <is>
          <t>Volumenbereich, größtes Schiff</t>
        </is>
      </c>
      <c r="B5" s="7" t="n">
        <v>200000</v>
      </c>
      <c r="C5" s="7" t="inlineStr">
        <is>
          <t>m³</t>
        </is>
      </c>
      <c r="D5" s="7" t="inlineStr">
        <is>
          <t>LZ 129, rund</t>
        </is>
      </c>
    </row>
    <row r="6">
      <c r="A6" s="6" t="inlineStr">
        <is>
          <t>Flächengewicht Folie Tritax (Vorschlag kleine Modelle)</t>
        </is>
      </c>
      <c r="B6" s="8" t="n">
        <v>27</v>
      </c>
      <c r="C6" s="6" t="inlineStr">
        <is>
          <t>g/m²</t>
        </is>
      </c>
      <c r="D6" s="6" t="inlineStr">
        <is>
          <t>Nutzer 13.10.2026 (Version 0.1)</t>
        </is>
      </c>
    </row>
    <row r="7">
      <c r="A7" s="7" t="inlineStr">
        <is>
          <t>Flächengewicht gummierter Baumwollstoff 1927</t>
        </is>
      </c>
      <c r="B7" s="7" t="n">
        <v>475</v>
      </c>
      <c r="C7" s="7" t="inlineStr">
        <is>
          <t>g/m²</t>
        </is>
      </c>
      <c r="D7" s="7" t="inlineStr">
        <is>
          <t>Burgess, Airship Design (1927): 14 oz/yd², Reißfestigkeit rund 80 lb/in</t>
        </is>
      </c>
    </row>
    <row r="8">
      <c r="A8" s="6" t="inlineStr">
        <is>
          <t>Grenze runde Prallhülle mit Stoff von 1927</t>
        </is>
      </c>
      <c r="B8" s="6" t="n">
        <v>5700</v>
      </c>
      <c r="C8" s="6" t="inlineStr">
        <is>
          <t>m³</t>
        </is>
      </c>
      <c r="D8" s="6" t="inlineStr">
        <is>
          <t>Burgess, Airship Design (1927): rund 200.000 ft³</t>
        </is>
      </c>
    </row>
    <row r="9">
      <c r="A9" s="7" t="inlineStr">
        <is>
          <t>Untere Grenze sinnvoller Starrluftschiffe</t>
        </is>
      </c>
      <c r="B9" s="7" t="n">
        <v>28300</v>
      </c>
      <c r="C9" s="7" t="inlineStr">
        <is>
          <t>m³</t>
        </is>
      </c>
      <c r="D9" s="7" t="inlineStr">
        <is>
          <t>Burgess, Airship Design (1927): rund 1 Mio. ft³</t>
        </is>
      </c>
    </row>
    <row r="10">
      <c r="A10" s="6" t="inlineStr">
        <is>
          <t>Gesamtwirkungsgrad K, Starr</t>
        </is>
      </c>
      <c r="B10" s="6" t="n">
        <v>63.5</v>
      </c>
      <c r="C10" s="6" t="inlineStr">
        <is>
          <t>-</t>
        </is>
      </c>
      <c r="D10" s="6" t="inlineStr">
        <is>
          <t>Burgess, Airship Design (1927), Kap. II Aufgabe 1</t>
        </is>
      </c>
    </row>
    <row r="11">
      <c r="A11" s="7" t="inlineStr">
        <is>
          <t>Gesamtwirkungsgrad K, Blimp</t>
        </is>
      </c>
      <c r="B11" s="7" t="n">
        <v>40</v>
      </c>
      <c r="C11" s="7" t="inlineStr">
        <is>
          <t>-</t>
        </is>
      </c>
      <c r="D11" s="7" t="inlineStr">
        <is>
          <t>Burgess, Airship Design (1927), Kap. II Aufgabe 4</t>
        </is>
      </c>
    </row>
    <row r="12">
      <c r="A12" s="6" t="inlineStr">
        <is>
          <t>Feste Massen ohne Antrieb, Starr</t>
        </is>
      </c>
      <c r="B12" s="6" t="n">
        <v>0.3</v>
      </c>
      <c r="C12" s="6" t="inlineStr">
        <is>
          <t>× D</t>
        </is>
      </c>
      <c r="D12" s="6" t="inlineStr">
        <is>
          <t>Burgess, Airship Design (1927), Kap. II (D = Masse der verdrängten Luft)</t>
        </is>
      </c>
    </row>
    <row r="13">
      <c r="A13" s="7" t="inlineStr">
        <is>
          <t>Feste Massen ohne Antrieb, Blimp</t>
        </is>
      </c>
      <c r="B13" s="7" t="n">
        <v>0.4</v>
      </c>
      <c r="C13" s="7" t="inlineStr">
        <is>
          <t>× D</t>
        </is>
      </c>
      <c r="D13" s="7" t="inlineStr">
        <is>
          <t>Burgess, Airship Design (1927), Kap. II</t>
        </is>
      </c>
    </row>
    <row r="14">
      <c r="A14" s="6" t="inlineStr">
        <is>
          <t>Besatzung, Vorräte, Ballast, Starr</t>
        </is>
      </c>
      <c r="B14" s="6" t="n">
        <v>0.055</v>
      </c>
      <c r="C14" s="6" t="inlineStr">
        <is>
          <t>× D</t>
        </is>
      </c>
      <c r="D14" s="6" t="inlineStr">
        <is>
          <t>Burgess, Airship Design (1927), Kap. II</t>
        </is>
      </c>
    </row>
    <row r="15">
      <c r="A15" s="7" t="inlineStr">
        <is>
          <t>Besatzung, Vorräte, Ballast, Blimp</t>
        </is>
      </c>
      <c r="B15" s="7" t="n">
        <v>0.1</v>
      </c>
      <c r="C15" s="7" t="inlineStr">
        <is>
          <t>× D</t>
        </is>
      </c>
      <c r="D15" s="7" t="inlineStr">
        <is>
          <t>Burgess, Airship Design (1927), Kap. II</t>
        </is>
      </c>
    </row>
    <row r="16">
      <c r="A16" s="6" t="inlineStr">
        <is>
          <t>Triebwerksmasse 1927, Starr / Blimp</t>
        </is>
      </c>
      <c r="B16" s="6" t="inlineStr">
        <is>
          <t>8 / 6</t>
        </is>
      </c>
      <c r="C16" s="6" t="inlineStr">
        <is>
          <t>lb/PS</t>
        </is>
      </c>
      <c r="D16" s="6" t="inlineStr">
        <is>
          <t>Burgess, Airship Design (1927), Kap. II</t>
        </is>
      </c>
    </row>
    <row r="17">
      <c r="A17" s="7" t="inlineStr">
        <is>
          <t>Kraftstoff 1927</t>
        </is>
      </c>
      <c r="B17" s="7" t="n">
        <v>0.6</v>
      </c>
      <c r="C17" s="7" t="inlineStr">
        <is>
          <t>lb/(PS·h)</t>
        </is>
      </c>
      <c r="D17" s="7" t="inlineStr">
        <is>
          <t>Burgess, Airship Design (1927), Kap. II</t>
        </is>
      </c>
    </row>
    <row r="18">
      <c r="A18" s="6" t="inlineStr">
        <is>
          <t>Luftdichte Meereshöhe (Normatmosphäre)</t>
        </is>
      </c>
      <c r="B18" s="6" t="n">
        <v>1.225</v>
      </c>
      <c r="C18" s="6" t="inlineStr">
        <is>
          <t>kg/m³</t>
        </is>
      </c>
      <c r="D18" s="6" t="inlineStr">
        <is>
          <t>ISA</t>
        </is>
      </c>
    </row>
    <row r="19">
      <c r="A19" s="7" t="inlineStr">
        <is>
          <t>Druckzunahme in H₂-Gassäule über Appendix</t>
        </is>
      </c>
      <c r="B19" s="7" t="n">
        <v>11.2</v>
      </c>
      <c r="C19" s="7" t="inlineStr">
        <is>
          <t>Pa/m</t>
        </is>
      </c>
      <c r="D19" s="7" t="inlineStr">
        <is>
          <t>Rechnung Claude: g·(ρLuft − ρH₂)</t>
        </is>
      </c>
    </row>
    <row r="20">
      <c r="A20" s="6" t="inlineStr">
        <is>
          <t>Nase beult ein, kleines H₂-Schiff (Ø ≈ 10 m)</t>
        </is>
      </c>
      <c r="B20" s="6" t="n">
        <v>33</v>
      </c>
      <c r="C20" s="6" t="inlineStr">
        <is>
          <t>km/h</t>
        </is>
      </c>
      <c r="D20" s="6" t="inlineStr">
        <is>
          <t>Überschlag Claude, zu prüfen</t>
        </is>
      </c>
    </row>
    <row r="21">
      <c r="A21" s="7" t="inlineStr">
        <is>
          <t>Seitenansicht automatisch unter</t>
        </is>
      </c>
      <c r="B21" s="9" t="n">
        <v>100</v>
      </c>
      <c r="C21" s="7" t="inlineStr">
        <is>
          <t>m über Grund</t>
        </is>
      </c>
      <c r="D21" s="7" t="inlineStr">
        <is>
          <t>Nutzer 13.10.2026 (Version 0.1)</t>
        </is>
      </c>
    </row>
    <row r="22">
      <c r="A22" s="6" t="inlineStr">
        <is>
          <t>Zeitraffer-Stufen</t>
        </is>
      </c>
      <c r="B22" s="8" t="inlineStr">
        <is>
          <t>1, 5, 10, 50, 100, 500, 1000, Boost</t>
        </is>
      </c>
      <c r="C22" s="6" t="inlineStr">
        <is>
          <t>×</t>
        </is>
      </c>
      <c r="D22" s="6" t="inlineStr">
        <is>
          <t>Nutzer 13.10.2026 (Version 0.1); Boost Nutzer 14.10.2026</t>
        </is>
      </c>
    </row>
    <row r="23">
      <c r="A23" s="7" t="inlineStr">
        <is>
          <t>Boost (Zeitraffer)</t>
        </is>
      </c>
      <c r="B23" s="7" t="n">
        <v>28800</v>
      </c>
      <c r="C23" s="7" t="inlineStr">
        <is>
          <t>×</t>
        </is>
      </c>
      <c r="D23" s="7" t="inlineStr">
        <is>
          <t>Festlegung Claude, Build 2026-10-14.4</t>
        </is>
      </c>
    </row>
    <row r="24">
      <c r="A24" s="6" t="inlineStr">
        <is>
          <t>Drosselung bei Eingabe über ×10</t>
        </is>
      </c>
      <c r="B24" s="8" t="n">
        <v>10</v>
      </c>
      <c r="C24" s="6" t="inlineStr">
        <is>
          <t>×</t>
        </is>
      </c>
      <c r="D24" s="6" t="inlineStr">
        <is>
          <t>Nutzer 14.10.2026</t>
        </is>
      </c>
    </row>
    <row r="25">
      <c r="A25" s="7" t="inlineStr">
        <is>
          <t>Schubkennlinie: Schub = (e^(4,5·p) − 1)/(e^4,5 − 1)</t>
        </is>
      </c>
      <c r="B25" s="9" t="n">
        <v>4.5</v>
      </c>
      <c r="C25" s="7" t="inlineStr">
        <is>
          <t>-</t>
        </is>
      </c>
      <c r="D25" s="7" t="inlineStr">
        <is>
          <t>Festlegung Claude nach Wunsch Nutzer 14.10.2026 (erste 10 % fein)</t>
        </is>
      </c>
    </row>
    <row r="26">
      <c r="A26" s="6" t="inlineStr">
        <is>
          <t>Höchstzahl laufender gespeicherter Fahrten</t>
        </is>
      </c>
      <c r="B26" s="8" t="n">
        <v>10</v>
      </c>
      <c r="C26" s="6" t="inlineStr">
        <is>
          <t>Anzahl</t>
        </is>
      </c>
      <c r="D26" s="6" t="inlineStr">
        <is>
          <t>Festlegung Claude nach Wunsch Nutzer 14.10.2026</t>
        </is>
      </c>
    </row>
    <row r="27">
      <c r="A27" s="7" t="inlineStr">
        <is>
          <t>CO₂ je kg Kraftstoff</t>
        </is>
      </c>
      <c r="B27" s="7" t="n">
        <v>3.18</v>
      </c>
      <c r="C27" s="7" t="inlineStr">
        <is>
          <t>kg/kg</t>
        </is>
      </c>
      <c r="D27" s="7" t="inlineStr">
        <is>
          <t>Emissionsfaktor nach EBeV</t>
        </is>
      </c>
    </row>
    <row r="28">
      <c r="A28" s="6" t="inlineStr">
        <is>
          <t>CO₂ je kWh Strom (Strommix DE)</t>
        </is>
      </c>
      <c r="B28" s="6" t="n">
        <v>363</v>
      </c>
      <c r="C28" s="6" t="inlineStr">
        <is>
          <t>g/kWh</t>
        </is>
      </c>
      <c r="D28" s="6" t="inlineStr">
        <is>
          <t>Umweltbundesamt 2024</t>
        </is>
      </c>
    </row>
    <row r="29">
      <c r="A29" s="7" t="inlineStr">
        <is>
          <t>Vergleich A320 Berlin–Hamburg</t>
        </is>
      </c>
      <c r="B29" s="7" t="n">
        <v>5.7</v>
      </c>
      <c r="C29" s="7" t="inlineStr">
        <is>
          <t>t CO₂</t>
        </is>
      </c>
      <c r="D29" s="7" t="inlineStr">
        <is>
          <t>Abschätzung Claude (Vergleichswert im Fahrtbericht)</t>
        </is>
      </c>
    </row>
    <row r="30">
      <c r="A30" s="6" t="inlineStr">
        <is>
          <t>Gondelleinen Blimp, Angriff an der Hülle</t>
        </is>
      </c>
      <c r="B30" s="8" t="inlineStr">
        <is>
          <t>25 bis 75</t>
        </is>
      </c>
      <c r="C30" s="6" t="inlineStr">
        <is>
          <t>% der Länge</t>
        </is>
      </c>
      <c r="D30" s="6" t="inlineStr">
        <is>
          <t>Nutzer 14.10.2026</t>
        </is>
      </c>
    </row>
    <row r="31">
      <c r="A31" s="7" t="inlineStr">
        <is>
          <t>Standardort</t>
        </is>
      </c>
      <c r="B31" s="9" t="inlineStr">
        <is>
          <t>Flughafen Friedrichshafen (EDNY), 47,671° N 9,511° O</t>
        </is>
      </c>
      <c r="C31" s="7" t="inlineStr">
        <is>
          <t>-</t>
        </is>
      </c>
      <c r="D31" s="7" t="inlineStr">
        <is>
          <t>Nutzer 13.10.2026 (Version 0.1)</t>
        </is>
      </c>
    </row>
    <row r="32">
      <c r="A32" s="6" t="inlineStr">
        <is>
          <t>Wetterarchiv Open-Meteo verfügbar ab</t>
        </is>
      </c>
      <c r="B32" s="6" t="n">
        <v>1940</v>
      </c>
      <c r="C32" s="6" t="inlineStr">
        <is>
          <t>Jahr</t>
        </is>
      </c>
      <c r="D32" s="6" t="inlineStr">
        <is>
          <t>open-meteo.com, Historical Weather API</t>
        </is>
      </c>
    </row>
    <row r="33">
      <c r="A33" s="7" t="inlineStr">
        <is>
          <t>Ersatzjahr für Szenarien vor 1940</t>
        </is>
      </c>
      <c r="B33" s="9" t="n">
        <v>2025</v>
      </c>
      <c r="C33" s="7" t="inlineStr">
        <is>
          <t>Jahr</t>
        </is>
      </c>
      <c r="D33" s="7" t="inlineStr">
        <is>
          <t>Nutzer 13.10.2026 (Version 0.1)</t>
        </is>
      </c>
    </row>
    <row r="34">
      <c r="A34" s="6" t="inlineStr">
        <is>
          <t>Wind im Archiv nur in</t>
        </is>
      </c>
      <c r="B34" s="6" t="inlineStr">
        <is>
          <t>10 und 100</t>
        </is>
      </c>
      <c r="C34" s="6" t="inlineStr">
        <is>
          <t>m</t>
        </is>
      </c>
      <c r="D34" s="6" t="inlineStr">
        <is>
          <t>open-meteo.com, Historical Weather API</t>
        </is>
      </c>
    </row>
    <row r="35">
      <c r="A35" s="7" t="inlineStr">
        <is>
          <t>Flossenzahl Leitwerk</t>
        </is>
      </c>
      <c r="B35" s="9" t="inlineStr">
        <is>
          <t>1 bis 6</t>
        </is>
      </c>
      <c r="C35" s="7" t="inlineStr">
        <is>
          <t>Stück</t>
        </is>
      </c>
      <c r="D35" s="7" t="inlineStr">
        <is>
          <t>Nutzer 13.10.2026 (Version 0.1)</t>
        </is>
      </c>
    </row>
    <row r="36">
      <c r="A36" s="6" t="inlineStr">
        <is>
          <t>Masse Kamera (Stadion-Aufgabe)</t>
        </is>
      </c>
      <c r="B36" s="8" t="n">
        <v>1</v>
      </c>
      <c r="C36" s="6" t="inlineStr">
        <is>
          <t>kg</t>
        </is>
      </c>
      <c r="D36" s="6" t="inlineStr">
        <is>
          <t>Nutzer 13.10.2026 (Version 0.1)</t>
        </is>
      </c>
    </row>
    <row r="37">
      <c r="A37" s="7" t="inlineStr">
        <is>
          <t>Dauer Position halten (Stadion-Aufgabe)</t>
        </is>
      </c>
      <c r="B37" s="9" t="n">
        <v>90</v>
      </c>
      <c r="C37" s="7" t="inlineStr">
        <is>
          <t>min</t>
        </is>
      </c>
      <c r="D37" s="7" t="inlineStr">
        <is>
          <t>Nutzer 13.10.2026 (Version 0.1)</t>
        </is>
      </c>
    </row>
  </sheetData>
  <autoFilter ref="A3:D3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2"/>
  <sheetViews>
    <sheetView workbookViewId="0">
      <pane ySplit="3" topLeftCell="A4" activePane="bottomLeft" state="frozen"/>
      <selection pane="bottomLeft" activeCell="A1" sqref="A1"/>
    </sheetView>
  </sheetViews>
  <sheetFormatPr baseColWidth="8" defaultRowHeight="15"/>
  <cols>
    <col width="11" customWidth="1" min="1" max="1"/>
    <col width="32" customWidth="1" min="2" max="2"/>
    <col width="6" customWidth="1" min="3" max="3"/>
    <col width="13" customWidth="1" min="4" max="4"/>
    <col width="8" customWidth="1" min="5" max="5"/>
    <col width="50" customWidth="1" min="6" max="6"/>
    <col width="45" customWidth="1" min="7" max="7"/>
  </cols>
  <sheetData>
    <row r="1">
      <c r="A1" s="1" t="inlineStr">
        <is>
          <t>Feste Auswahl</t>
        </is>
      </c>
    </row>
    <row r="2">
      <c r="A2" s="4" t="inlineStr">
        <is>
          <t>Die festen Luftschiffe der App (Stand 14.10.2026). Volumen gerundet.</t>
        </is>
      </c>
    </row>
    <row r="3">
      <c r="A3" s="5" t="inlineStr">
        <is>
          <t>Bauart</t>
        </is>
      </c>
      <c r="B3" s="5" t="inlineStr">
        <is>
          <t>Name</t>
        </is>
      </c>
      <c r="C3" s="5" t="inlineStr">
        <is>
          <t>Gas</t>
        </is>
      </c>
      <c r="D3" s="5" t="inlineStr">
        <is>
          <t>Volumen m³</t>
        </is>
      </c>
      <c r="E3" s="5" t="inlineStr">
        <is>
          <t>Jahr</t>
        </is>
      </c>
      <c r="F3" s="5" t="inlineStr">
        <is>
          <t>Datenlage</t>
        </is>
      </c>
      <c r="G3" s="5" t="inlineStr">
        <is>
          <t>Bemerkung</t>
        </is>
      </c>
    </row>
    <row r="4">
      <c r="A4" s="6" t="inlineStr">
        <is>
          <t>Starr</t>
        </is>
      </c>
      <c r="B4" s="6" t="inlineStr">
        <is>
          <t>USS Los Angeles (LZ 126)</t>
        </is>
      </c>
      <c r="C4" s="6" t="inlineStr">
        <is>
          <t>He</t>
        </is>
      </c>
      <c r="D4" s="6" t="inlineStr">
        <is>
          <t>≈ 78.000 (Luftvolumen)</t>
        </is>
      </c>
      <c r="E4" s="6" t="inlineStr">
        <is>
          <t>1924</t>
        </is>
      </c>
      <c r="F4" s="6" t="inlineStr">
        <is>
          <t>Burgess Abb. 1, umfangreich</t>
        </is>
      </c>
      <c r="G4" s="6" t="inlineStr">
        <is>
          <t>Prüfschiff Phase 1; Bezug für die Widerstandsschätzung großer Schiffe (Nutzer 13.10.)</t>
        </is>
      </c>
    </row>
    <row r="5">
      <c r="A5" s="7" t="inlineStr">
        <is>
          <t>Starr</t>
        </is>
      </c>
      <c r="B5" s="7" t="inlineStr">
        <is>
          <t>LZ 120 „Bodensee“ (kurz)</t>
        </is>
      </c>
      <c r="C5" s="7" t="inlineStr">
        <is>
          <t>H₂</t>
        </is>
      </c>
      <c r="D5" s="7" t="inlineStr">
        <is>
          <t>≈ 21.500 (Gas 20.000)</t>
        </is>
      </c>
      <c r="E5" s="7" t="inlineStr">
        <is>
          <t>1919</t>
        </is>
      </c>
      <c r="F5" s="7" t="inlineStr">
        <is>
          <t>Windkanalmodell und Foto 1919 (Nutzer); Annahmen im Rechenweg</t>
        </is>
      </c>
      <c r="G5" s="7" t="inlineStr">
        <is>
          <t>Lieblingszeppelin des Nutzers; 3 Motorgondeln (hinten 2 Motoren hintereinander auf einen Propeller); Szenario Friedrichshafen → Staaken</t>
        </is>
      </c>
    </row>
    <row r="6">
      <c r="A6" s="6" t="inlineStr">
        <is>
          <t>Starr</t>
        </is>
      </c>
      <c r="B6" s="6" t="inlineStr">
        <is>
          <t>LZ 129 „Hindenburg“</t>
        </is>
      </c>
      <c r="C6" s="6" t="inlineStr">
        <is>
          <t>H₂</t>
        </is>
      </c>
      <c r="D6" s="6" t="inlineStr">
        <is>
          <t>≈ 200.000</t>
        </is>
      </c>
      <c r="E6" s="6" t="inlineStr">
        <is>
          <t>1936</t>
        </is>
      </c>
      <c r="F6" s="6" t="inlineStr">
        <is>
          <t>Wikipedia und Literatur</t>
        </is>
      </c>
      <c r="G6" s="6" t="inlineStr">
        <is>
          <t>Szenario Frankfurt → Lakehurst; LZ 129 statt LZ 127 (Nutzer 13.10.)</t>
        </is>
      </c>
    </row>
    <row r="7">
      <c r="A7" s="7" t="inlineStr">
        <is>
          <t>Halbstarr</t>
        </is>
      </c>
      <c r="B7" s="7" t="inlineStr">
        <is>
          <t>N-1 „Norge“</t>
        </is>
      </c>
      <c r="C7" s="7" t="inlineStr">
        <is>
          <t>H₂</t>
        </is>
      </c>
      <c r="D7" s="7" t="inlineStr">
        <is>
          <t>≈ 19.000</t>
        </is>
      </c>
      <c r="E7" s="7" t="inlineStr">
        <is>
          <t>1926</t>
        </is>
      </c>
      <c r="F7" s="7" t="inlineStr">
        <is>
          <t>Burgess Abb. 2; Blakemore/Pagon</t>
        </is>
      </c>
      <c r="G7" s="7" t="inlineStr"/>
    </row>
    <row r="8">
      <c r="A8" s="6" t="inlineStr">
        <is>
          <t>Halbstarr</t>
        </is>
      </c>
      <c r="B8" s="6" t="inlineStr">
        <is>
          <t>Zeppelin NT 07</t>
        </is>
      </c>
      <c r="C8" s="6" t="inlineStr">
        <is>
          <t>He</t>
        </is>
      </c>
      <c r="D8" s="6" t="inlineStr">
        <is>
          <t>≈ 8.425</t>
        </is>
      </c>
      <c r="E8" s="6" t="inlineStr">
        <is>
          <t>1997</t>
        </is>
      </c>
      <c r="F8" s="6" t="inlineStr">
        <is>
          <t>Herstellerdaten</t>
        </is>
      </c>
      <c r="G8" s="6" t="inlineStr">
        <is>
          <t>Bezug für den Widerstand kleiner Schiffe; Heckmotor; Szenario Sehenswürdigkeiten Bodensee</t>
        </is>
      </c>
    </row>
    <row r="9">
      <c r="A9" s="7" t="inlineStr">
        <is>
          <t>Blimp</t>
        </is>
      </c>
      <c r="B9" s="7" t="inlineStr">
        <is>
          <t>US Navy C-7</t>
        </is>
      </c>
      <c r="C9" s="7" t="inlineStr">
        <is>
          <t>H₂</t>
        </is>
      </c>
      <c r="D9" s="7" t="inlineStr">
        <is>
          <t>≈ 5.125</t>
        </is>
      </c>
      <c r="E9" s="7" t="inlineStr">
        <is>
          <t>1921</t>
        </is>
      </c>
      <c r="F9" s="7" t="inlineStr">
        <is>
          <t>Burgess Abb. 3, Druckmessungen</t>
        </is>
      </c>
      <c r="G9" s="7" t="inlineStr">
        <is>
          <t>Prüfschiff Phase 1; mit Wasserstoff (Nutzer 13.10.)</t>
        </is>
      </c>
    </row>
    <row r="10">
      <c r="A10" s="6" t="inlineStr">
        <is>
          <t>Blimp</t>
        </is>
      </c>
      <c r="B10" s="6" t="inlineStr">
        <is>
          <t>Skyship 600</t>
        </is>
      </c>
      <c r="C10" s="6" t="inlineStr">
        <is>
          <t>He</t>
        </is>
      </c>
      <c r="D10" s="6" t="inlineStr">
        <is>
          <t>≈ 7.200</t>
        </is>
      </c>
      <c r="E10" s="6" t="inlineStr">
        <is>
          <t>1984</t>
        </is>
      </c>
      <c r="F10" s="6" t="inlineStr">
        <is>
          <t>Herstellerdaten</t>
        </is>
      </c>
      <c r="G10" s="6" t="inlineStr">
        <is>
          <t>Skyship 600 statt GZ-20 (Nutzer 13.10.)</t>
        </is>
      </c>
    </row>
    <row r="11">
      <c r="A11" s="7" t="inlineStr">
        <is>
          <t>Klein</t>
        </is>
      </c>
      <c r="B11" s="7" t="inlineStr">
        <is>
          <t>LuffiHopper</t>
        </is>
      </c>
      <c r="C11" s="7" t="inlineStr">
        <is>
          <t>H₂</t>
        </is>
      </c>
      <c r="D11" s="7" t="inlineStr">
        <is>
          <t>2.000</t>
        </is>
      </c>
      <c r="E11" s="7" t="inlineStr">
        <is>
          <t>neu</t>
        </is>
      </c>
      <c r="F11" s="7" t="inlineStr">
        <is>
          <t>Vorgabe Nutzer: unten offen mit kurzem Appendix, länglicher Korb, 2 E-Antriebe an der Gondel, Hülle 300 g/m²</t>
        </is>
      </c>
      <c r="G11" s="7" t="inlineStr">
        <is>
          <t>Name vom Nutzer (13.10.)</t>
        </is>
      </c>
    </row>
    <row r="12">
      <c r="A12" s="6" t="inlineStr">
        <is>
          <t>Klein</t>
        </is>
      </c>
      <c r="B12" s="6" t="inlineStr">
        <is>
          <t>RC-Blimp</t>
        </is>
      </c>
      <c r="C12" s="6" t="inlineStr">
        <is>
          <t>He</t>
        </is>
      </c>
      <c r="D12" s="6" t="inlineStr">
        <is>
          <t>≈ 0,5</t>
        </is>
      </c>
      <c r="E12" s="6" t="inlineStr">
        <is>
          <t>neu</t>
        </is>
      </c>
      <c r="F12" s="6" t="inlineStr">
        <is>
          <t>Tritax 27 g/m²</t>
        </is>
      </c>
      <c r="G12" s="6" t="inlineStr"/>
    </row>
  </sheetData>
  <autoFilter ref="A3:G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8" customWidth="1" min="1" max="1"/>
    <col width="12" customWidth="1" min="2" max="2"/>
    <col width="24" customWidth="1" min="3" max="3"/>
    <col width="14" customWidth="1" min="4" max="4"/>
    <col width="50" customWidth="1" min="5" max="5"/>
    <col width="14" customWidth="1" min="6" max="6"/>
    <col width="10" customWidth="1" min="7" max="7"/>
    <col width="40" customWidth="1" min="8" max="8"/>
  </cols>
  <sheetData>
    <row r="1">
      <c r="A1" s="1" t="inlineStr">
        <is>
          <t>Schnittstellen</t>
        </is>
      </c>
    </row>
    <row r="2">
      <c r="A2" s="4" t="inlineStr">
        <is>
          <t>Externe Dienste und Datenwege.</t>
        </is>
      </c>
    </row>
    <row r="3">
      <c r="A3" s="5" t="inlineStr">
        <is>
          <t>ID</t>
        </is>
      </c>
      <c r="B3" s="5" t="inlineStr">
        <is>
          <t>Von</t>
        </is>
      </c>
      <c r="C3" s="5" t="inlineStr">
        <is>
          <t>Nach</t>
        </is>
      </c>
      <c r="D3" s="5" t="inlineStr">
        <is>
          <t>Medium</t>
        </is>
      </c>
      <c r="E3" s="5" t="inlineStr">
        <is>
          <t>Inhalt</t>
        </is>
      </c>
      <c r="F3" s="5" t="inlineStr">
        <is>
          <t>Richtung</t>
        </is>
      </c>
      <c r="G3" s="5" t="inlineStr">
        <is>
          <t>Status</t>
        </is>
      </c>
      <c r="H3" s="5" t="inlineStr">
        <is>
          <t>Anmerkung</t>
        </is>
      </c>
    </row>
    <row r="4">
      <c r="A4" s="6" t="inlineStr">
        <is>
          <t>IF-01</t>
        </is>
      </c>
      <c r="B4" s="6" t="inlineStr">
        <is>
          <t>App</t>
        </is>
      </c>
      <c r="C4" s="6" t="inlineStr">
        <is>
          <t>Open-Meteo Vorhersage</t>
        </is>
      </c>
      <c r="D4" s="6" t="inlineStr">
        <is>
          <t>HTTPS, JSON</t>
        </is>
      </c>
      <c r="E4" s="6" t="inlineStr">
        <is>
          <t>Wetter für den Ort des Schiffs mit Druckflächen</t>
        </is>
      </c>
      <c r="F4" s="6" t="inlineStr">
        <is>
          <t>Server zu App</t>
        </is>
      </c>
      <c r="G4" s="6" t="inlineStr">
        <is>
          <t>Offen</t>
        </is>
      </c>
      <c r="H4" s="6" t="inlineStr">
        <is>
          <t>CC BY 4.0; wie beim Gasballon</t>
        </is>
      </c>
    </row>
    <row r="5">
      <c r="A5" s="7" t="inlineStr">
        <is>
          <t>IF-02</t>
        </is>
      </c>
      <c r="B5" s="7" t="inlineStr">
        <is>
          <t>App</t>
        </is>
      </c>
      <c r="C5" s="7" t="inlineStr">
        <is>
          <t>Open-Meteo Archiv</t>
        </is>
      </c>
      <c r="D5" s="7" t="inlineStr">
        <is>
          <t>HTTPS, JSON</t>
        </is>
      </c>
      <c r="E5" s="7" t="inlineStr">
        <is>
          <t>Historisches Wetter ab 1940 (Wind 10 m und 100 m, Temperatur, Druck)</t>
        </is>
      </c>
      <c r="F5" s="7" t="inlineStr">
        <is>
          <t>Server zu App</t>
        </is>
      </c>
      <c r="G5" s="7" t="inlineStr">
        <is>
          <t>Offen</t>
        </is>
      </c>
      <c r="H5" s="7" t="inlineStr">
        <is>
          <t>Für ruhig/mittel/extrem und historisches Datum</t>
        </is>
      </c>
    </row>
    <row r="6">
      <c r="A6" s="6" t="inlineStr">
        <is>
          <t>IF-03</t>
        </is>
      </c>
      <c r="B6" s="6" t="inlineStr">
        <is>
          <t>App</t>
        </is>
      </c>
      <c r="C6" s="6" t="inlineStr">
        <is>
          <t>Open-Meteo Höhenmodell</t>
        </is>
      </c>
      <c r="D6" s="6" t="inlineStr">
        <is>
          <t>HTTPS, JSON</t>
        </is>
      </c>
      <c r="E6" s="6" t="inlineStr">
        <is>
          <t>Geländehöhen</t>
        </is>
      </c>
      <c r="F6" s="6" t="inlineStr">
        <is>
          <t>Server zu App</t>
        </is>
      </c>
      <c r="G6" s="6" t="inlineStr">
        <is>
          <t>Offen</t>
        </is>
      </c>
      <c r="H6" s="6" t="inlineStr">
        <is>
          <t>Wie beim Gasballon</t>
        </is>
      </c>
    </row>
    <row r="7">
      <c r="A7" s="7" t="inlineStr">
        <is>
          <t>IF-04</t>
        </is>
      </c>
      <c r="B7" s="7" t="inlineStr">
        <is>
          <t>App</t>
        </is>
      </c>
      <c r="C7" s="7" t="inlineStr">
        <is>
          <t>OpenStreetMap (Leaflet)</t>
        </is>
      </c>
      <c r="D7" s="7" t="inlineStr">
        <is>
          <t>HTTPS, Kacheln</t>
        </is>
      </c>
      <c r="E7" s="7" t="inlineStr">
        <is>
          <t>Kartenbild</t>
        </is>
      </c>
      <c r="F7" s="7" t="inlineStr">
        <is>
          <t>Server zu App</t>
        </is>
      </c>
      <c r="G7" s="7" t="inlineStr">
        <is>
          <t>Offen</t>
        </is>
      </c>
      <c r="H7" s="7" t="inlineStr">
        <is>
          <t>Namensnennung nötig</t>
        </is>
      </c>
    </row>
    <row r="8">
      <c r="A8" s="6" t="inlineStr">
        <is>
          <t>IF-05</t>
        </is>
      </c>
      <c r="B8" s="6" t="inlineStr">
        <is>
          <t>App</t>
        </is>
      </c>
      <c r="C8" s="6" t="inlineStr">
        <is>
          <t>Three.js</t>
        </is>
      </c>
      <c r="D8" s="6" t="inlineStr">
        <is>
          <t>Bibliothek</t>
        </is>
      </c>
      <c r="E8" s="6" t="inlineStr">
        <is>
          <t>3D-Vorschau</t>
        </is>
      </c>
      <c r="F8" s="6" t="inlineStr">
        <is>
          <t>eingebunden</t>
        </is>
      </c>
      <c r="G8" s="6" t="inlineStr">
        <is>
          <t>Offen</t>
        </is>
      </c>
      <c r="H8" s="6" t="inlineStr">
        <is>
          <t>Fest eingebunden für Start ohne Netz</t>
        </is>
      </c>
    </row>
    <row r="9">
      <c r="A9" s="7" t="inlineStr">
        <is>
          <t>IF-06</t>
        </is>
      </c>
      <c r="B9" s="7" t="inlineStr">
        <is>
          <t>Nutzer</t>
        </is>
      </c>
      <c r="C9" s="7" t="inlineStr">
        <is>
          <t>App</t>
        </is>
      </c>
      <c r="D9" s="7" t="inlineStr">
        <is>
          <t>Text / QR</t>
        </is>
      </c>
      <c r="E9" s="7" t="inlineStr">
        <is>
          <t>Speicher-Code eines Luftschiffs</t>
        </is>
      </c>
      <c r="F9" s="7" t="inlineStr">
        <is>
          <t>beide</t>
        </is>
      </c>
      <c r="G9" s="7" t="inlineStr">
        <is>
          <t>Offen</t>
        </is>
      </c>
      <c r="H9" s="7" t="inlineStr">
        <is>
          <t>SPE-01</t>
        </is>
      </c>
    </row>
  </sheetData>
  <autoFilter ref="A3:H9"/>
  <dataValidations count="1">
    <dataValidation sqref="G4:G209" showDropDown="0" showInputMessage="0" showErrorMessage="0" allowBlank="1" type="list">
      <formula1>"Offen,In Arbeit,Teilweise,Umgesetzt,Getestet,Zurückgestellt"</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10"/>
  <sheetViews>
    <sheetView workbookViewId="0">
      <pane ySplit="3" topLeftCell="A4" activePane="bottomLeft" state="frozen"/>
      <selection pane="bottomLeft" activeCell="A1" sqref="A1"/>
    </sheetView>
  </sheetViews>
  <sheetFormatPr baseColWidth="8" defaultRowHeight="15"/>
  <cols>
    <col width="7" customWidth="1" min="1" max="1"/>
    <col width="11" customWidth="1" min="2" max="2"/>
    <col width="30" customWidth="1" min="3" max="3"/>
    <col width="34" customWidth="1" min="4" max="4"/>
    <col width="30" customWidth="1" min="5" max="5"/>
    <col width="5" customWidth="1" min="6" max="6"/>
    <col width="5" customWidth="1" min="7" max="7"/>
    <col width="7" customWidth="1" min="8" max="8"/>
    <col width="9" customWidth="1" min="9" max="9"/>
    <col width="40" customWidth="1" min="10" max="10"/>
    <col width="14" customWidth="1" min="11" max="11"/>
    <col width="10" customWidth="1" min="12" max="12"/>
  </cols>
  <sheetData>
    <row r="1">
      <c r="A1" s="1" t="inlineStr">
        <is>
          <t>Risiken</t>
        </is>
      </c>
    </row>
    <row r="2">
      <c r="A2" s="4" t="inlineStr">
        <is>
          <t>Wahrscheinlichkeit (W) und Schaden (S) je 1 bis 5; Wert = W × S (Formel); Stufe ab 15 hoch, ab 8 mittel.</t>
        </is>
      </c>
    </row>
    <row r="3">
      <c r="A3" s="5" t="inlineStr">
        <is>
          <t>ID</t>
        </is>
      </c>
      <c r="B3" s="5" t="inlineStr">
        <is>
          <t>Kategorie</t>
        </is>
      </c>
      <c r="C3" s="5" t="inlineStr">
        <is>
          <t>Risiko</t>
        </is>
      </c>
      <c r="D3" s="5" t="inlineStr">
        <is>
          <t>Ursache</t>
        </is>
      </c>
      <c r="E3" s="5" t="inlineStr">
        <is>
          <t>Auswirkung</t>
        </is>
      </c>
      <c r="F3" s="5" t="inlineStr">
        <is>
          <t>W</t>
        </is>
      </c>
      <c r="G3" s="5" t="inlineStr">
        <is>
          <t>S</t>
        </is>
      </c>
      <c r="H3" s="5" t="inlineStr">
        <is>
          <t>Wert</t>
        </is>
      </c>
      <c r="I3" s="5" t="inlineStr">
        <is>
          <t>Stufe</t>
        </is>
      </c>
      <c r="J3" s="5" t="inlineStr">
        <is>
          <t>Maßnahme</t>
        </is>
      </c>
      <c r="K3" s="5" t="inlineStr">
        <is>
          <t>Verantwortlich</t>
        </is>
      </c>
      <c r="L3" s="5" t="inlineStr">
        <is>
          <t>Status</t>
        </is>
      </c>
    </row>
    <row r="4">
      <c r="A4" s="6" t="inlineStr">
        <is>
          <t>R-01</t>
        </is>
      </c>
      <c r="B4" s="6" t="inlineStr">
        <is>
          <t>Fachlich</t>
        </is>
      </c>
      <c r="C4" s="6" t="inlineStr">
        <is>
          <t>Massenmodell weicht stark ab</t>
        </is>
      </c>
      <c r="D4" s="6" t="inlineStr">
        <is>
          <t>Gerüst- und Hüllenmassen aus 1927 passen nicht zu modernen Werkstoffen</t>
        </is>
      </c>
      <c r="E4" s="6" t="inlineStr">
        <is>
          <t>Falsche Eckdaten, falsche Schlüsse zum E-Luftschiff</t>
        </is>
      </c>
      <c r="F4" s="6" t="n">
        <v>3</v>
      </c>
      <c r="G4" s="6" t="n">
        <v>4</v>
      </c>
      <c r="H4" s="6">
        <f>F4*G4</f>
        <v/>
      </c>
      <c r="I4" s="6">
        <f>IF(H4&gt;=15,"hoch",IF(H4&gt;=8,"mittel","niedrig"))</f>
        <v/>
      </c>
      <c r="J4" s="6" t="inlineStr">
        <is>
          <t>Bauteilrechnung mit änderbaren Kennwerten; Abgleich an echten Schiffen</t>
        </is>
      </c>
      <c r="K4" s="6" t="inlineStr">
        <is>
          <t>Claude</t>
        </is>
      </c>
      <c r="L4" s="6" t="inlineStr">
        <is>
          <t>Offen</t>
        </is>
      </c>
    </row>
    <row r="5">
      <c r="A5" s="7" t="inlineStr">
        <is>
          <t>R-02</t>
        </is>
      </c>
      <c r="B5" s="7" t="inlineStr">
        <is>
          <t>Fachlich</t>
        </is>
      </c>
      <c r="C5" s="7" t="inlineStr">
        <is>
          <t>Widerstand kleiner Schiffe falsch</t>
        </is>
      </c>
      <c r="D5" s="7" t="inlineStr">
        <is>
          <t>Burgess-Beiwerte gelten für große Schiffe</t>
        </is>
      </c>
      <c r="E5" s="7" t="inlineStr">
        <is>
          <t>RC-Blimp zu schnell</t>
        </is>
      </c>
      <c r="F5" s="7" t="n">
        <v>3</v>
      </c>
      <c r="G5" s="7" t="n">
        <v>3</v>
      </c>
      <c r="H5" s="7">
        <f>F5*G5</f>
        <v/>
      </c>
      <c r="I5" s="7">
        <f>IF(H5&gt;=15,"hoch",IF(H5&gt;=8,"mittel","niedrig"))</f>
        <v/>
      </c>
      <c r="J5" s="7" t="inlineStr">
        <is>
          <t>Reynolds-Korrektur; Abgleich mit Messwerten von RC-Blimps</t>
        </is>
      </c>
      <c r="K5" s="7" t="inlineStr">
        <is>
          <t>Claude</t>
        </is>
      </c>
      <c r="L5" s="7" t="inlineStr">
        <is>
          <t>Offen</t>
        </is>
      </c>
    </row>
    <row r="6">
      <c r="A6" s="6" t="inlineStr">
        <is>
          <t>R-03</t>
        </is>
      </c>
      <c r="B6" s="6" t="inlineStr">
        <is>
          <t>Daten</t>
        </is>
      </c>
      <c r="C6" s="6" t="inlineStr">
        <is>
          <t>Wenige Daten zu LZ 120 und Norge</t>
        </is>
      </c>
      <c r="D6" s="6" t="inlineStr">
        <is>
          <t>Historische Quellen lückenhaft</t>
        </is>
      </c>
      <c r="E6" s="6" t="inlineStr">
        <is>
          <t>Modell ungenau</t>
        </is>
      </c>
      <c r="F6" s="6" t="n">
        <v>4</v>
      </c>
      <c r="G6" s="6" t="n">
        <v>2</v>
      </c>
      <c r="H6" s="6">
        <f>F6*G6</f>
        <v/>
      </c>
      <c r="I6" s="6">
        <f>IF(H6&gt;=15,"hoch",IF(H6&gt;=8,"mittel","niedrig"))</f>
        <v/>
      </c>
      <c r="J6" s="6" t="inlineStr">
        <is>
          <t>Annahmen gemeinsam festlegen und dokumentieren (MOD-02)</t>
        </is>
      </c>
      <c r="K6" s="6" t="inlineStr">
        <is>
          <t>Nutzer, Claude</t>
        </is>
      </c>
      <c r="L6" s="6" t="inlineStr">
        <is>
          <t>Offen</t>
        </is>
      </c>
    </row>
    <row r="7">
      <c r="A7" s="7" t="inlineStr">
        <is>
          <t>R-04</t>
        </is>
      </c>
      <c r="B7" s="7" t="inlineStr">
        <is>
          <t>Daten</t>
        </is>
      </c>
      <c r="C7" s="7" t="inlineStr">
        <is>
          <t>Archivwetter ohne Höhenwind</t>
        </is>
      </c>
      <c r="D7" s="7" t="inlineStr">
        <is>
          <t>Archiv nur 10 m und 100 m</t>
        </is>
      </c>
      <c r="E7" s="7" t="inlineStr">
        <is>
          <t>Ungenaue Winde in größerer Höhe</t>
        </is>
      </c>
      <c r="F7" s="7" t="n">
        <v>5</v>
      </c>
      <c r="G7" s="7" t="n">
        <v>2</v>
      </c>
      <c r="H7" s="7">
        <f>F7*G7</f>
        <v/>
      </c>
      <c r="I7" s="7">
        <f>IF(H7&gt;=15,"hoch",IF(H7&gt;=8,"mittel","niedrig"))</f>
        <v/>
      </c>
      <c r="J7" s="7" t="inlineStr">
        <is>
          <t>Windprofil hochrechnen, Hinweis anzeigen (MET-07)</t>
        </is>
      </c>
      <c r="K7" s="7" t="inlineStr">
        <is>
          <t>Claude</t>
        </is>
      </c>
      <c r="L7" s="7" t="inlineStr">
        <is>
          <t>Offen</t>
        </is>
      </c>
    </row>
    <row r="8">
      <c r="A8" s="6" t="inlineStr">
        <is>
          <t>R-05</t>
        </is>
      </c>
      <c r="B8" s="6" t="inlineStr">
        <is>
          <t>Technik</t>
        </is>
      </c>
      <c r="C8" s="6" t="inlineStr">
        <is>
          <t>Rechenaufwand am Handy</t>
        </is>
      </c>
      <c r="D8" s="6" t="inlineStr">
        <is>
          <t>3D-Vorschau, Physik und Zeitraffer ×1000</t>
        </is>
      </c>
      <c r="E8" s="6" t="inlineStr">
        <is>
          <t>Ruckeln, Akkuverbrauch</t>
        </is>
      </c>
      <c r="F8" s="6" t="n">
        <v>3</v>
      </c>
      <c r="G8" s="6" t="n">
        <v>3</v>
      </c>
      <c r="H8" s="6">
        <f>F8*G8</f>
        <v/>
      </c>
      <c r="I8" s="6">
        <f>IF(H8&gt;=15,"hoch",IF(H8&gt;=8,"mittel","niedrig"))</f>
        <v/>
      </c>
      <c r="J8" s="6" t="inlineStr">
        <is>
          <t>Einfache Geometrie, Physik mit festen Schritten, Messung am Handy</t>
        </is>
      </c>
      <c r="K8" s="6" t="inlineStr">
        <is>
          <t>Claude</t>
        </is>
      </c>
      <c r="L8" s="6" t="inlineStr">
        <is>
          <t>Offen</t>
        </is>
      </c>
    </row>
    <row r="9">
      <c r="A9" s="7" t="inlineStr">
        <is>
          <t>R-06</t>
        </is>
      </c>
      <c r="B9" s="7" t="inlineStr">
        <is>
          <t>Umfang</t>
        </is>
      </c>
      <c r="C9" s="7" t="inlineStr">
        <is>
          <t>Projekt wird zu groß</t>
        </is>
      </c>
      <c r="D9" s="7" t="inlineStr">
        <is>
          <t>Viele Wünsche (Mission, Szenarien, Wetterarchiv)</t>
        </is>
      </c>
      <c r="E9" s="7" t="inlineStr">
        <is>
          <t>Lange bis zur ersten nutzbaren Fassung</t>
        </is>
      </c>
      <c r="F9" s="7" t="n">
        <v>4</v>
      </c>
      <c r="G9" s="7" t="n">
        <v>3</v>
      </c>
      <c r="H9" s="7">
        <f>F9*G9</f>
        <v/>
      </c>
      <c r="I9" s="7">
        <f>IF(H9&gt;=15,"hoch",IF(H9&gt;=8,"mittel","niedrig"))</f>
        <v/>
      </c>
      <c r="J9" s="7" t="inlineStr">
        <is>
          <t>Phasen strikt nacheinander; Freie Fahrt zuerst</t>
        </is>
      </c>
      <c r="K9" s="7" t="inlineStr">
        <is>
          <t>Nutzer, Claude</t>
        </is>
      </c>
      <c r="L9" s="7" t="inlineStr">
        <is>
          <t>Offen</t>
        </is>
      </c>
    </row>
    <row r="10">
      <c r="A10" s="6" t="inlineStr">
        <is>
          <t>R-07</t>
        </is>
      </c>
      <c r="B10" s="6" t="inlineStr">
        <is>
          <t>Sicherheit</t>
        </is>
      </c>
      <c r="C10" s="6" t="inlineStr">
        <is>
          <t>Falscher Eindruck der Machbarkeit</t>
        </is>
      </c>
      <c r="D10" s="6" t="inlineStr">
        <is>
          <t>Simulation wird als Bauentscheid genommen</t>
        </is>
      </c>
      <c r="E10" s="6" t="inlineStr">
        <is>
          <t>Fehlentscheidung beim echten Bau</t>
        </is>
      </c>
      <c r="F10" s="6" t="n">
        <v>2</v>
      </c>
      <c r="G10" s="6" t="n">
        <v>5</v>
      </c>
      <c r="H10" s="6">
        <f>F10*G10</f>
        <v/>
      </c>
      <c r="I10" s="6">
        <f>IF(H10&gt;=15,"hoch",IF(H10&gt;=8,"mittel","niedrig"))</f>
        <v/>
      </c>
      <c r="J10" s="6" t="inlineStr">
        <is>
          <t>Hinweis in der App: Abschätzung, kein Nachweis</t>
        </is>
      </c>
      <c r="K10" s="6" t="inlineStr">
        <is>
          <t>Claude</t>
        </is>
      </c>
      <c r="L10" s="6" t="inlineStr">
        <is>
          <t>Offen</t>
        </is>
      </c>
    </row>
  </sheetData>
  <autoFilter ref="A3:L10"/>
  <dataValidations count="1">
    <dataValidation sqref="L4:L210" showDropDown="0" showInputMessage="0" showErrorMessage="0" allowBlank="1" type="list">
      <formula1>"Offen,In Arbeit,Teilweise,Umgesetzt,Getestet,Zurückgestellt"</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0"/>
  <sheetViews>
    <sheetView workbookViewId="0">
      <pane ySplit="3" topLeftCell="A4" activePane="bottomLeft" state="frozen"/>
      <selection pane="bottomLeft" activeCell="A1" sqref="A1"/>
    </sheetView>
  </sheetViews>
  <sheetFormatPr baseColWidth="8" defaultRowHeight="15"/>
  <cols>
    <col width="7" customWidth="1" min="1" max="1"/>
    <col width="10" customWidth="1" min="2" max="2"/>
    <col width="26" customWidth="1" min="3" max="3"/>
    <col width="26" customWidth="1" min="4" max="4"/>
    <col width="10" customWidth="1" min="5" max="5"/>
    <col width="50" customWidth="1" min="6" max="6"/>
    <col width="46" customWidth="1" min="7" max="7"/>
    <col width="10" customWidth="1" min="8" max="8"/>
  </cols>
  <sheetData>
    <row r="1">
      <c r="A1" s="1" t="inlineStr">
        <is>
          <t>Tests</t>
        </is>
      </c>
    </row>
    <row r="2">
      <c r="A2" s="4" t="inlineStr">
        <is>
          <t>Testfälle; Spalte C nennt die geprüften Anforderungen.</t>
        </is>
      </c>
    </row>
    <row r="3">
      <c r="A3" s="5" t="inlineStr">
        <is>
          <t>ID</t>
        </is>
      </c>
      <c r="B3" s="5" t="inlineStr">
        <is>
          <t>Art</t>
        </is>
      </c>
      <c r="C3" s="5" t="inlineStr">
        <is>
          <t>Anforderungen</t>
        </is>
      </c>
      <c r="D3" s="5" t="inlineStr">
        <is>
          <t>Titel</t>
        </is>
      </c>
      <c r="E3" s="5" t="inlineStr">
        <is>
          <t>Umgebung</t>
        </is>
      </c>
      <c r="F3" s="5" t="inlineStr">
        <is>
          <t>Ablauf</t>
        </is>
      </c>
      <c r="G3" s="5" t="inlineStr">
        <is>
          <t>Erwartung</t>
        </is>
      </c>
      <c r="H3" s="5" t="inlineStr">
        <is>
          <t>Status</t>
        </is>
      </c>
    </row>
    <row r="4">
      <c r="A4" s="6" t="inlineStr">
        <is>
          <t>T-01</t>
        </is>
      </c>
      <c r="B4" s="6" t="inlineStr">
        <is>
          <t>Kern</t>
        </is>
      </c>
      <c r="C4" s="6" t="inlineStr">
        <is>
          <t>FOR-01, FOR-04, FOR-05</t>
        </is>
      </c>
      <c r="D4" s="6" t="inlineStr">
        <is>
          <t>Gertler-Kontur</t>
        </is>
      </c>
      <c r="E4" s="6" t="inlineStr">
        <is>
          <t>Node</t>
        </is>
      </c>
      <c r="F4" s="6" t="inlineStr">
        <is>
          <t>Kontur für Ellipsoid (m 0,5, r0 0,5, r1 0,5, Cp 2/3) und für ein spitzes Heck rechnen</t>
        </is>
      </c>
      <c r="G4" s="6" t="inlineStr">
        <is>
          <t>Ellipsoid: Volumen und Oberfläche wie geschlossene Formel; spitzes Heck: Radius → 0</t>
        </is>
      </c>
      <c r="H4" s="6" t="inlineStr">
        <is>
          <t>Getestet</t>
        </is>
      </c>
    </row>
    <row r="5">
      <c r="A5" s="7" t="inlineStr">
        <is>
          <t>T-02</t>
        </is>
      </c>
      <c r="B5" s="7" t="inlineStr">
        <is>
          <t>Kern</t>
        </is>
      </c>
      <c r="C5" s="7" t="inlineStr">
        <is>
          <t>GAS-01, GAS-02</t>
        </is>
      </c>
      <c r="D5" s="7" t="inlineStr">
        <is>
          <t>Auftrieb und Ballonet</t>
        </is>
      </c>
      <c r="E5" s="7" t="inlineStr">
        <is>
          <t>Node</t>
        </is>
      </c>
      <c r="F5" s="7" t="inlineStr">
        <is>
          <t>Auftrieb je m³ He/H₂; Burgess-Beispiel Ballonet 20 %</t>
        </is>
      </c>
      <c r="G5" s="7" t="inlineStr">
        <is>
          <t>Werte wie Burgess (7.500 ft)</t>
        </is>
      </c>
      <c r="H5" s="7" t="inlineStr">
        <is>
          <t>Getestet</t>
        </is>
      </c>
    </row>
    <row r="6">
      <c r="A6" s="6" t="inlineStr">
        <is>
          <t>T-03</t>
        </is>
      </c>
      <c r="B6" s="6" t="inlineStr">
        <is>
          <t>Kern</t>
        </is>
      </c>
      <c r="C6" s="6" t="inlineStr">
        <is>
          <t>ANT-02, AER-01, MAS-01</t>
        </is>
      </c>
      <c r="D6" s="6" t="inlineStr">
        <is>
          <t>Prüfung C-7</t>
        </is>
      </c>
      <c r="E6" s="6" t="inlineStr">
        <is>
          <t>Node</t>
        </is>
      </c>
      <c r="F6" s="6" t="inlineStr">
        <is>
          <t>C-7 mit Burgess-Daten rechnen</t>
        </is>
      </c>
      <c r="G6" s="6" t="inlineStr">
        <is>
          <t>Höchstgeschwindigkeit und Leermasse innerhalb 10 %</t>
        </is>
      </c>
      <c r="H6" s="6" t="inlineStr">
        <is>
          <t>Getestet</t>
        </is>
      </c>
    </row>
    <row r="7">
      <c r="A7" s="7" t="inlineStr">
        <is>
          <t>T-04</t>
        </is>
      </c>
      <c r="B7" s="7" t="inlineStr">
        <is>
          <t>Kern</t>
        </is>
      </c>
      <c r="C7" s="7" t="inlineStr">
        <is>
          <t>ANT-02, AER-01, MAS-04</t>
        </is>
      </c>
      <c r="D7" s="7" t="inlineStr">
        <is>
          <t>Prüfung USS Los Angeles</t>
        </is>
      </c>
      <c r="E7" s="7" t="inlineStr">
        <is>
          <t>Node</t>
        </is>
      </c>
      <c r="F7" s="7" t="inlineStr">
        <is>
          <t>Los Angeles mit Burgess-Daten rechnen</t>
        </is>
      </c>
      <c r="G7" s="7" t="inlineStr">
        <is>
          <t>Höchstgeschwindigkeit und Leermasse innerhalb 10 %</t>
        </is>
      </c>
      <c r="H7" s="7" t="inlineStr">
        <is>
          <t>Getestet</t>
        </is>
      </c>
    </row>
    <row r="8">
      <c r="A8" s="6" t="inlineStr">
        <is>
          <t>T-05</t>
        </is>
      </c>
      <c r="B8" s="6" t="inlineStr">
        <is>
          <t>Kern</t>
        </is>
      </c>
      <c r="C8" s="6" t="inlineStr">
        <is>
          <t>ANT-02</t>
        </is>
      </c>
      <c r="D8" s="6" t="inlineStr">
        <is>
          <t>Burgess Kap. II Aufgaben 1 und 4</t>
        </is>
      </c>
      <c r="E8" s="6" t="inlineStr">
        <is>
          <t>Node</t>
        </is>
      </c>
      <c r="F8" s="6" t="inlineStr">
        <is>
          <t>Größenbestimmung nachrechnen</t>
        </is>
      </c>
      <c r="G8" s="6" t="inlineStr">
        <is>
          <t>Volumen und Leistung wie im Buch</t>
        </is>
      </c>
      <c r="H8" s="6" t="inlineStr">
        <is>
          <t>Getestet</t>
        </is>
      </c>
    </row>
    <row r="9">
      <c r="A9" s="7" t="inlineStr">
        <is>
          <t>T-06</t>
        </is>
      </c>
      <c r="B9" s="7" t="inlineStr">
        <is>
          <t>Kern</t>
        </is>
      </c>
      <c r="C9" s="7" t="inlineStr">
        <is>
          <t>GAS-03, BAU-06</t>
        </is>
      </c>
      <c r="D9" s="7" t="inlineStr">
        <is>
          <t>Offener Appendix</t>
        </is>
      </c>
      <c r="E9" s="7" t="inlineStr">
        <is>
          <t>Node</t>
        </is>
      </c>
      <c r="F9" s="7" t="inlineStr">
        <is>
          <t>Kleines H₂-Schiff 2.000 m³</t>
        </is>
      </c>
      <c r="G9" s="7" t="inlineStr">
        <is>
          <t>Grenzgeschwindigkeit Nase ≈ 30–35 km/h</t>
        </is>
      </c>
      <c r="H9" s="7" t="inlineStr">
        <is>
          <t>Getestet</t>
        </is>
      </c>
    </row>
    <row r="10">
      <c r="A10" s="6" t="inlineStr">
        <is>
          <t>T-07</t>
        </is>
      </c>
      <c r="B10" s="6" t="inlineStr">
        <is>
          <t>Software</t>
        </is>
      </c>
      <c r="C10" s="6" t="inlineStr">
        <is>
          <t>SPE-01, SPE-02</t>
        </is>
      </c>
      <c r="D10" s="6" t="inlineStr">
        <is>
          <t>Speicher-Code</t>
        </is>
      </c>
      <c r="E10" s="6" t="inlineStr">
        <is>
          <t>Handy</t>
        </is>
      </c>
      <c r="F10" s="6" t="inlineStr">
        <is>
          <t>Schiff bauen, Code kopieren, in neuem Browser laden</t>
        </is>
      </c>
      <c r="G10" s="6" t="inlineStr">
        <is>
          <t>Gleiches Schiff, gleiche Eckdaten</t>
        </is>
      </c>
      <c r="H10" s="6" t="inlineStr">
        <is>
          <t>Getestet</t>
        </is>
      </c>
    </row>
    <row r="11">
      <c r="A11" s="7" t="inlineStr">
        <is>
          <t>T-08</t>
        </is>
      </c>
      <c r="B11" s="7" t="inlineStr">
        <is>
          <t>Software</t>
        </is>
      </c>
      <c r="C11" s="7" t="inlineStr">
        <is>
          <t>VOR-01, VOR-02, AER-03</t>
        </is>
      </c>
      <c r="D11" s="7" t="inlineStr">
        <is>
          <t>3D-Vorschau</t>
        </is>
      </c>
      <c r="E11" s="7" t="inlineStr">
        <is>
          <t>Handy</t>
        </is>
      </c>
      <c r="F11" s="7" t="inlineStr">
        <is>
          <t>Alle Bauweisen und Flossenzahlen 1 bis 6 ansehen, drehen, zoomen</t>
        </is>
      </c>
      <c r="G11" s="7" t="inlineStr">
        <is>
          <t>Striche nur bei Starr; Flossen richtig</t>
        </is>
      </c>
      <c r="H11" s="7" t="inlineStr">
        <is>
          <t>Teilweise</t>
        </is>
      </c>
    </row>
    <row r="12">
      <c r="A12" s="6" t="inlineStr">
        <is>
          <t>T-09</t>
        </is>
      </c>
      <c r="B12" s="6" t="inlineStr">
        <is>
          <t>Software</t>
        </is>
      </c>
      <c r="C12" s="6" t="inlineStr">
        <is>
          <t>BAU-01, BAU-02, BAU-03, BAU-04, BAU-05, BAU-06, BAU-07</t>
        </is>
      </c>
      <c r="D12" s="6" t="inlineStr">
        <is>
          <t>Baukasten-Ablauf</t>
        </is>
      </c>
      <c r="E12" s="6" t="inlineStr">
        <is>
          <t>Handy</t>
        </is>
      </c>
      <c r="F12" s="6" t="inlineStr">
        <is>
          <t>Eigenes Schiff von Grund auf bauen; Antrieb viel zu klein wählen</t>
        </is>
      </c>
      <c r="G12" s="6" t="inlineStr">
        <is>
          <t>Eckdaten reagieren, Warnungen erscheinen, nichts gesperrt</t>
        </is>
      </c>
      <c r="H12" s="6" t="inlineStr">
        <is>
          <t>Teilweise</t>
        </is>
      </c>
    </row>
    <row r="13">
      <c r="A13" s="7" t="inlineStr">
        <is>
          <t>T-10</t>
        </is>
      </c>
      <c r="B13" s="7" t="inlineStr">
        <is>
          <t>Software</t>
        </is>
      </c>
      <c r="C13" s="7" t="inlineStr">
        <is>
          <t>FAH-01, FAH-02, FAH-03, FAH-04, FAH-05, FAH-06, ANZ-01, ANZ-03</t>
        </is>
      </c>
      <c r="D13" s="7" t="inlineStr">
        <is>
          <t>Freie Fahrt</t>
        </is>
      </c>
      <c r="E13" s="7" t="inlineStr">
        <is>
          <t>Handy</t>
        </is>
      </c>
      <c r="F13" s="7" t="inlineStr">
        <is>
          <t>Kleines H₂-Schiff in Friedrichshafen starten, fahren, unter 100 m landen</t>
        </is>
      </c>
      <c r="G13" s="7" t="inlineStr">
        <is>
          <t>Seitenansicht ab 100 m; Auswertung erscheint</t>
        </is>
      </c>
      <c r="H13" s="7" t="inlineStr">
        <is>
          <t>Getestet</t>
        </is>
      </c>
    </row>
    <row r="14">
      <c r="A14" s="6" t="inlineStr">
        <is>
          <t>T-11</t>
        </is>
      </c>
      <c r="B14" s="6" t="inlineStr">
        <is>
          <t>Software</t>
        </is>
      </c>
      <c r="C14" s="6" t="inlineStr">
        <is>
          <t>AUT-01, AUT-02</t>
        </is>
      </c>
      <c r="D14" s="6" t="inlineStr">
        <is>
          <t>Stadion-Aufgabe</t>
        </is>
      </c>
      <c r="E14" s="6" t="inlineStr">
        <is>
          <t>Handy</t>
        </is>
      </c>
      <c r="F14" s="6" t="inlineStr">
        <is>
          <t>90 min Position halten mit 1 kg Kamera, dann zurück</t>
        </is>
      </c>
      <c r="G14" s="6" t="inlineStr">
        <is>
          <t>Ergebnis „geschafft“ oder „Energie reicht nicht“ nachvollziehbar</t>
        </is>
      </c>
      <c r="H14" s="6" t="inlineStr">
        <is>
          <t>Offen</t>
        </is>
      </c>
    </row>
    <row r="15">
      <c r="A15" s="7" t="inlineStr">
        <is>
          <t>T-12</t>
        </is>
      </c>
      <c r="B15" s="7" t="inlineStr">
        <is>
          <t>Software</t>
        </is>
      </c>
      <c r="C15" s="7" t="inlineStr">
        <is>
          <t>MET-03, MET-04, MET-05, MET-07</t>
        </is>
      </c>
      <c r="D15" s="7" t="inlineStr">
        <is>
          <t>Wetterarten</t>
        </is>
      </c>
      <c r="E15" s="7" t="inlineStr">
        <is>
          <t>Handy</t>
        </is>
      </c>
      <c r="F15" s="7" t="inlineStr">
        <is>
          <t>Ruhig/mittel/extrem und historisches Datum 1936 wählen</t>
        </is>
      </c>
      <c r="G15" s="7" t="inlineStr">
        <is>
          <t>Herkunft sichtbar; Ersatzjahr genannt</t>
        </is>
      </c>
      <c r="H15" s="7" t="inlineStr">
        <is>
          <t>Offen</t>
        </is>
      </c>
    </row>
    <row r="16">
      <c r="A16" s="6" t="inlineStr">
        <is>
          <t>T-13</t>
        </is>
      </c>
      <c r="B16" s="6" t="inlineStr">
        <is>
          <t>Kern</t>
        </is>
      </c>
      <c r="C16" s="6" t="inlineStr">
        <is>
          <t>FAH-03, FAH-14, AUT-01</t>
        </is>
      </c>
      <c r="D16" s="6" t="inlineStr">
        <is>
          <t>Flugmodell (pruef04.js)</t>
        </is>
      </c>
      <c r="E16" s="6" t="inlineStr">
        <is>
          <t>Node</t>
        </is>
      </c>
      <c r="F16" s="6" t="inlineStr">
        <is>
          <t>Höhe halten, Position halten bei Wind, Kurs halten bei Seitenwind</t>
        </is>
      </c>
      <c r="G16" s="6" t="inlineStr">
        <is>
          <t>Werte innerhalb der Toleranz</t>
        </is>
      </c>
      <c r="H16" s="6" t="inlineStr">
        <is>
          <t>Getestet</t>
        </is>
      </c>
    </row>
    <row r="17">
      <c r="A17" s="7" t="inlineStr">
        <is>
          <t>T-14</t>
        </is>
      </c>
      <c r="B17" s="7" t="inlineStr">
        <is>
          <t>Kern</t>
        </is>
      </c>
      <c r="C17" s="7" t="inlineStr">
        <is>
          <t>SPE-01, SPE-03</t>
        </is>
      </c>
      <c r="D17" s="7" t="inlineStr">
        <is>
          <t>Eingefrorene Speicher-Codes (pruef05.js)</t>
        </is>
      </c>
      <c r="E17" s="7" t="inlineStr">
        <is>
          <t>Node</t>
        </is>
      </c>
      <c r="F17" s="7" t="inlineStr">
        <is>
          <t>11 alte Codes lesen und rechnen</t>
        </is>
      </c>
      <c r="G17" s="7" t="inlineStr">
        <is>
          <t>Keine Abweichung</t>
        </is>
      </c>
      <c r="H17" s="7" t="inlineStr">
        <is>
          <t>Getestet</t>
        </is>
      </c>
    </row>
    <row r="18">
      <c r="A18" s="6" t="inlineStr">
        <is>
          <t>T-15</t>
        </is>
      </c>
      <c r="B18" s="6" t="inlineStr">
        <is>
          <t>Software</t>
        </is>
      </c>
      <c r="C18" s="6" t="inlineStr">
        <is>
          <t>BAU-08, BAU-12, VOR-03, VOR-04</t>
        </is>
      </c>
      <c r="D18" s="6" t="inlineStr">
        <is>
          <t>Ablauf Baukasten (ablauf01.py)</t>
        </is>
      </c>
      <c r="E18" s="6" t="inlineStr">
        <is>
          <t>Browser</t>
        </is>
      </c>
      <c r="F18" s="6" t="inlineStr">
        <is>
          <t>Auswahl, Schritte, Leiste scrollen, Schnittansicht</t>
        </is>
      </c>
      <c r="G18" s="6" t="inlineStr">
        <is>
          <t>Keine Fehler in der Konsole</t>
        </is>
      </c>
      <c r="H18" s="6" t="inlineStr">
        <is>
          <t>Getestet</t>
        </is>
      </c>
    </row>
    <row r="19">
      <c r="A19" s="7" t="inlineStr">
        <is>
          <t>T-16</t>
        </is>
      </c>
      <c r="B19" s="7" t="inlineStr">
        <is>
          <t>Software</t>
        </is>
      </c>
      <c r="C19" s="7" t="inlineStr">
        <is>
          <t>FAH-07, FAH-09, FAH-10, FAH-12, FAH-13, ANZ-09, ANZ-10</t>
        </is>
      </c>
      <c r="D19" s="7" t="inlineStr">
        <is>
          <t>Ablauf Fahrt (ablauf02.py)</t>
        </is>
      </c>
      <c r="E19" s="7" t="inlineStr">
        <is>
          <t>Browser</t>
        </is>
      </c>
      <c r="F19" s="7" t="inlineStr">
        <is>
          <t>Start, ×1, Boost, Speichern, Fortsetzen aus der Liste, Landung, Bericht, Teilbild; Handy und Computer</t>
        </is>
      </c>
      <c r="G19" s="7" t="inlineStr">
        <is>
          <t>Uhr läuft, Fortsetzen angeboten, Bericht und Bild erzeugt</t>
        </is>
      </c>
      <c r="H19" s="7" t="inlineStr">
        <is>
          <t>Getestet</t>
        </is>
      </c>
    </row>
    <row r="20">
      <c r="A20" s="6" t="inlineStr">
        <is>
          <t>T-17</t>
        </is>
      </c>
      <c r="B20" s="6" t="inlineStr">
        <is>
          <t>Software</t>
        </is>
      </c>
      <c r="C20" s="6" t="inlineStr">
        <is>
          <t>FAH-08, FAH-12, ANZ-04, ANZ-05</t>
        </is>
      </c>
      <c r="D20" s="6" t="inlineStr">
        <is>
          <t>Fahrt am Handy</t>
        </is>
      </c>
      <c r="E20" s="6" t="inlineStr">
        <is>
          <t>Handy</t>
        </is>
      </c>
      <c r="F20" s="6" t="inlineStr">
        <is>
          <t>Feinfühliger Schub, kleine Konsole, Anzeigen ablesen</t>
        </is>
      </c>
      <c r="G20" s="6" t="inlineStr">
        <is>
          <t>Abnahme durch den Nutzer</t>
        </is>
      </c>
      <c r="H20" s="6" t="inlineStr">
        <is>
          <t>Offen</t>
        </is>
      </c>
    </row>
  </sheetData>
  <autoFilter ref="A3:H20"/>
  <dataValidations count="1">
    <dataValidation sqref="H4:H220" showDropDown="0" showInputMessage="0" showErrorMessage="0" allowBlank="1" type="list">
      <formula1>"Offen,In Arbeit,Teilweise,Umgesetzt,Getestet,Zurückgestellt"</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15"/>
  <sheetViews>
    <sheetView workbookViewId="0">
      <pane ySplit="3" topLeftCell="A4" activePane="bottomLeft" state="frozen"/>
      <selection pane="bottomLeft" activeCell="A1" sqref="A1"/>
    </sheetView>
  </sheetViews>
  <sheetFormatPr baseColWidth="8" defaultRowHeight="15"/>
  <cols>
    <col width="7" customWidth="1" min="1" max="1"/>
    <col width="10" customWidth="1" min="2" max="2"/>
    <col width="60" customWidth="1" min="3" max="3"/>
    <col width="36" customWidth="1" min="4" max="4"/>
    <col width="14" customWidth="1" min="5" max="5"/>
    <col width="7" customWidth="1" min="6" max="6"/>
    <col width="7" customWidth="1" min="7" max="7"/>
    <col width="34" customWidth="1" min="8" max="8"/>
    <col width="12" customWidth="1" min="9" max="9"/>
    <col width="12" customWidth="1" min="10" max="10"/>
  </cols>
  <sheetData>
    <row r="1">
      <c r="A1" s="1" t="inlineStr">
        <is>
          <t>Offene Punkte</t>
        </is>
      </c>
    </row>
    <row r="2">
      <c r="A2" s="4" t="inlineStr">
        <is>
          <t>Fragen, die vor oder während der Umsetzung zu klären sind.</t>
        </is>
      </c>
    </row>
    <row r="3">
      <c r="A3" s="5" t="inlineStr">
        <is>
          <t>ID</t>
        </is>
      </c>
      <c r="B3" s="5" t="inlineStr">
        <is>
          <t>Thema</t>
        </is>
      </c>
      <c r="C3" s="5" t="inlineStr">
        <is>
          <t>Frage</t>
        </is>
      </c>
      <c r="D3" s="5" t="inlineStr">
        <is>
          <t>Optionen</t>
        </is>
      </c>
      <c r="E3" s="5" t="inlineStr">
        <is>
          <t>Zuständig</t>
        </is>
      </c>
      <c r="F3" s="5" t="inlineStr">
        <is>
          <t>Phase</t>
        </is>
      </c>
      <c r="G3" s="5" t="inlineStr">
        <is>
          <t>Prio</t>
        </is>
      </c>
      <c r="H3" s="5" t="inlineStr">
        <is>
          <t>Entscheidung</t>
        </is>
      </c>
      <c r="I3" s="5" t="inlineStr">
        <is>
          <t>Entschieden am</t>
        </is>
      </c>
      <c r="J3" s="5" t="inlineStr">
        <is>
          <t>Status</t>
        </is>
      </c>
    </row>
    <row r="4">
      <c r="A4" s="6" t="inlineStr">
        <is>
          <t>OP-01</t>
        </is>
      </c>
      <c r="B4" s="6" t="inlineStr">
        <is>
          <t>Modelle</t>
        </is>
      </c>
      <c r="C4" s="6" t="inlineStr">
        <is>
          <t>Welche Annahmen gelten für LZ 120 „Bodensee“ (kurz)? Gerüst, Gaszellen, Motoren, Leermasse.</t>
        </is>
      </c>
      <c r="D4" s="6" t="inlineStr">
        <is>
          <t>Gemeinsam aus Quellen und Burgess ableiten</t>
        </is>
      </c>
      <c r="E4" s="6" t="inlineStr">
        <is>
          <t>Nutzer, Claude</t>
        </is>
      </c>
      <c r="F4" s="6" t="inlineStr">
        <is>
          <t>2</t>
        </is>
      </c>
      <c r="G4" s="6" t="inlineStr">
        <is>
          <t>Muss</t>
        </is>
      </c>
      <c r="H4" s="6" t="inlineStr">
        <is>
          <t>Form nach Windkanalmodell, Gondellage nach Foto 1919, 3 Motorgondeln; Annahmen im Rechenweg</t>
        </is>
      </c>
      <c r="I4" s="6" t="inlineStr">
        <is>
          <t>13.10.2026</t>
        </is>
      </c>
      <c r="J4" s="6" t="inlineStr">
        <is>
          <t>Entschieden</t>
        </is>
      </c>
    </row>
    <row r="5">
      <c r="A5" s="7" t="inlineStr">
        <is>
          <t>OP-02</t>
        </is>
      </c>
      <c r="B5" s="7" t="inlineStr">
        <is>
          <t>Modelle</t>
        </is>
      </c>
      <c r="C5" s="7" t="inlineStr">
        <is>
          <t>LZ 129 oder LZ 127 als drittes Starrschiff? Goodyear GZ-20 oder Skyship 600?</t>
        </is>
      </c>
      <c r="D5" s="7" t="inlineStr">
        <is>
          <t>Je eines / beide</t>
        </is>
      </c>
      <c r="E5" s="7" t="inlineStr">
        <is>
          <t>Nutzer</t>
        </is>
      </c>
      <c r="F5" s="7" t="inlineStr">
        <is>
          <t>2</t>
        </is>
      </c>
      <c r="G5" s="7" t="inlineStr">
        <is>
          <t>Soll</t>
        </is>
      </c>
      <c r="H5" s="7" t="inlineStr">
        <is>
          <t>LZ 129 und Skyship 600</t>
        </is>
      </c>
      <c r="I5" s="7" t="inlineStr">
        <is>
          <t>13.10.2026</t>
        </is>
      </c>
      <c r="J5" s="7" t="inlineStr">
        <is>
          <t>Entschieden</t>
        </is>
      </c>
    </row>
    <row r="6">
      <c r="A6" s="6" t="inlineStr">
        <is>
          <t>OP-03</t>
        </is>
      </c>
      <c r="B6" s="6" t="inlineStr">
        <is>
          <t>Modelle</t>
        </is>
      </c>
      <c r="C6" s="6" t="inlineStr">
        <is>
          <t>Name für das kleine H₂-Luftschiff?</t>
        </is>
      </c>
      <c r="D6" s="6" t="inlineStr"/>
      <c r="E6" s="6" t="inlineStr">
        <is>
          <t>Nutzer</t>
        </is>
      </c>
      <c r="F6" s="6" t="inlineStr">
        <is>
          <t>2</t>
        </is>
      </c>
      <c r="G6" s="6" t="inlineStr">
        <is>
          <t>Kann</t>
        </is>
      </c>
      <c r="H6" s="6" t="inlineStr">
        <is>
          <t>LuffiHopper</t>
        </is>
      </c>
      <c r="I6" s="6" t="inlineStr">
        <is>
          <t>13.10.2026</t>
        </is>
      </c>
      <c r="J6" s="6" t="inlineStr">
        <is>
          <t>Entschieden</t>
        </is>
      </c>
    </row>
    <row r="7">
      <c r="A7" s="7" t="inlineStr">
        <is>
          <t>OP-04</t>
        </is>
      </c>
      <c r="B7" s="7" t="inlineStr">
        <is>
          <t>Form</t>
        </is>
      </c>
      <c r="C7" s="7" t="inlineStr">
        <is>
          <t>Welche drei Gertler-Formen werden fest vorgegeben (m, Cp, r0, r1)?</t>
        </is>
      </c>
      <c r="D7" s="7" t="inlineStr">
        <is>
          <t>Vorschlag Claude nach Phase 1</t>
        </is>
      </c>
      <c r="E7" s="7" t="inlineStr">
        <is>
          <t>Nutzer</t>
        </is>
      </c>
      <c r="F7" s="7" t="inlineStr">
        <is>
          <t>1</t>
        </is>
      </c>
      <c r="G7" s="7" t="inlineStr">
        <is>
          <t>Muss</t>
        </is>
      </c>
      <c r="H7" s="7" t="inlineStr">
        <is>
          <t>Form der USS Albacore und zwei weitere nach Wahl von Claude (Zeppelin, Blimp)</t>
        </is>
      </c>
      <c r="I7" s="7" t="inlineStr">
        <is>
          <t>13.10.2026</t>
        </is>
      </c>
      <c r="J7" s="7" t="inlineStr">
        <is>
          <t>Entschieden</t>
        </is>
      </c>
    </row>
    <row r="8">
      <c r="A8" s="6" t="inlineStr">
        <is>
          <t>OP-05</t>
        </is>
      </c>
      <c r="B8" s="6" t="inlineStr">
        <is>
          <t>Quellen</t>
        </is>
      </c>
      <c r="C8" s="6" t="inlineStr">
        <is>
          <t>„Pressure Airships“ (Blakemore/Pagon, 1927) für Halbstarre und Blimps beschaffen?</t>
        </is>
      </c>
      <c r="D8" s="6" t="inlineStr">
        <is>
          <t>Frei verfügbare Kopie suchen / ohne</t>
        </is>
      </c>
      <c r="E8" s="6" t="inlineStr">
        <is>
          <t>Nutzer</t>
        </is>
      </c>
      <c r="F8" s="6" t="inlineStr">
        <is>
          <t>2</t>
        </is>
      </c>
      <c r="G8" s="6" t="inlineStr">
        <is>
          <t>Soll</t>
        </is>
      </c>
      <c r="H8" s="6" t="inlineStr"/>
      <c r="I8" s="6" t="inlineStr"/>
      <c r="J8" s="6" t="inlineStr">
        <is>
          <t>Offen</t>
        </is>
      </c>
    </row>
    <row r="9">
      <c r="A9" s="7" t="inlineStr">
        <is>
          <t>OP-06</t>
        </is>
      </c>
      <c r="B9" s="7" t="inlineStr">
        <is>
          <t>Leitwerk</t>
        </is>
      </c>
      <c r="C9" s="7" t="inlineStr">
        <is>
          <t>Genaue Leitwerksauslegung mit AirshipLAB (Alex)?</t>
        </is>
      </c>
      <c r="D9" s="7" t="inlineStr">
        <is>
          <t>Screenshots als Gegenprobe / Code von Alex / nur Burgess</t>
        </is>
      </c>
      <c r="E9" s="7" t="inlineStr">
        <is>
          <t>Nutzer</t>
        </is>
      </c>
      <c r="F9" s="7" t="inlineStr">
        <is>
          <t>später</t>
        </is>
      </c>
      <c r="G9" s="7" t="inlineStr">
        <is>
          <t>Kann</t>
        </is>
      </c>
      <c r="H9" s="7" t="inlineStr">
        <is>
          <t>Vorerst nur Überschlag nach Burgess</t>
        </is>
      </c>
      <c r="I9" s="7" t="inlineStr">
        <is>
          <t>13.10.2026</t>
        </is>
      </c>
      <c r="J9" s="7" t="inlineStr">
        <is>
          <t>Zurückgestellt</t>
        </is>
      </c>
    </row>
    <row r="10">
      <c r="A10" s="6" t="inlineStr">
        <is>
          <t>OP-07</t>
        </is>
      </c>
      <c r="B10" s="6" t="inlineStr">
        <is>
          <t>Technik</t>
        </is>
      </c>
      <c r="C10" s="6" t="inlineStr">
        <is>
          <t>Wie werden gemeinsame Teile mit dem Gasballon geteilt (Kopie oder gemeinsames Modul)?</t>
        </is>
      </c>
      <c r="D10" s="6" t="inlineStr">
        <is>
          <t>Kopie mit Abgleich / gemeinsames Modul</t>
        </is>
      </c>
      <c r="E10" s="6" t="inlineStr">
        <is>
          <t>Nutzer, Claude</t>
        </is>
      </c>
      <c r="F10" s="6" t="inlineStr">
        <is>
          <t>8</t>
        </is>
      </c>
      <c r="G10" s="6" t="inlineStr">
        <is>
          <t>Soll</t>
        </is>
      </c>
      <c r="H10" s="6" t="inlineStr"/>
      <c r="I10" s="6" t="inlineStr"/>
      <c r="J10" s="6" t="inlineStr">
        <is>
          <t>Offen</t>
        </is>
      </c>
    </row>
    <row r="11">
      <c r="A11" s="7" t="inlineStr">
        <is>
          <t>OP-08</t>
        </is>
      </c>
      <c r="B11" s="7" t="inlineStr">
        <is>
          <t>Recht</t>
        </is>
      </c>
      <c r="C11" s="7" t="inlineStr">
        <is>
          <t>Gilt auch hier: nicht kommerziell, privater Gebrauch, Hinweis in der App?</t>
        </is>
      </c>
      <c r="D11" s="7" t="inlineStr">
        <is>
          <t>Ja / Nein</t>
        </is>
      </c>
      <c r="E11" s="7" t="inlineStr">
        <is>
          <t>Nutzer</t>
        </is>
      </c>
      <c r="F11" s="7" t="inlineStr">
        <is>
          <t>3</t>
        </is>
      </c>
      <c r="G11" s="7" t="inlineStr">
        <is>
          <t>Soll</t>
        </is>
      </c>
      <c r="H11" s="7" t="inlineStr"/>
      <c r="I11" s="7" t="inlineStr"/>
      <c r="J11" s="7" t="inlineStr">
        <is>
          <t>Offen</t>
        </is>
      </c>
    </row>
    <row r="12">
      <c r="A12" s="6" t="inlineStr">
        <is>
          <t>OP-09</t>
        </is>
      </c>
      <c r="B12" s="6" t="inlineStr">
        <is>
          <t>Betrieb</t>
        </is>
      </c>
      <c r="C12" s="6" t="inlineStr">
        <is>
          <t>Wo läuft die App: GitHub Pages des neuen Repositorys, später Server cloud.aerarium.de?</t>
        </is>
      </c>
      <c r="D12" s="6" t="inlineStr">
        <is>
          <t>GitHub Pages im Repository einschalten (Nutzer)</t>
        </is>
      </c>
      <c r="E12" s="6" t="inlineStr">
        <is>
          <t>Nutzer</t>
        </is>
      </c>
      <c r="F12" s="6" t="inlineStr">
        <is>
          <t>3</t>
        </is>
      </c>
      <c r="G12" s="6" t="inlineStr">
        <is>
          <t>Soll</t>
        </is>
      </c>
      <c r="H12" s="6" t="inlineStr"/>
      <c r="I12" s="6" t="inlineStr"/>
      <c r="J12" s="6" t="inlineStr">
        <is>
          <t>In Klärung</t>
        </is>
      </c>
    </row>
    <row r="13">
      <c r="A13" s="7" t="inlineStr">
        <is>
          <t>OP-10</t>
        </is>
      </c>
      <c r="B13" s="7" t="inlineStr">
        <is>
          <t>Baukasten</t>
        </is>
      </c>
      <c r="C13" s="7" t="inlineStr">
        <is>
          <t>Freigabe des Entwurfs „Neue Felder“: Gondelabstand, Träger und Gaszellen, Kiel, Ballonets (MAS-06)</t>
        </is>
      </c>
      <c r="D13" s="7" t="inlineStr">
        <is>
          <t>Entwurf als Bild liegt vor</t>
        </is>
      </c>
      <c r="E13" s="7" t="inlineStr">
        <is>
          <t>Nutzer</t>
        </is>
      </c>
      <c r="F13" s="7" t="inlineStr">
        <is>
          <t>3</t>
        </is>
      </c>
      <c r="G13" s="7" t="inlineStr">
        <is>
          <t>Soll</t>
        </is>
      </c>
      <c r="H13" s="7" t="inlineStr"/>
      <c r="I13" s="7" t="inlineStr"/>
      <c r="J13" s="7" t="inlineStr">
        <is>
          <t>Offen</t>
        </is>
      </c>
    </row>
    <row r="14">
      <c r="A14" s="6" t="inlineStr">
        <is>
          <t>OP-11</t>
        </is>
      </c>
      <c r="B14" s="6" t="inlineStr">
        <is>
          <t>Fahrt</t>
        </is>
      </c>
      <c r="C14" s="6" t="inlineStr">
        <is>
          <t>Soll „Höhe halten“ zusätzlich Gas und Ballast nutzen (statt nur Höhenruder und Schub)?</t>
        </is>
      </c>
      <c r="D14" s="6" t="inlineStr">
        <is>
          <t>Ja / Nein</t>
        </is>
      </c>
      <c r="E14" s="6" t="inlineStr">
        <is>
          <t>Nutzer</t>
        </is>
      </c>
      <c r="F14" s="6" t="inlineStr">
        <is>
          <t>4</t>
        </is>
      </c>
      <c r="G14" s="6" t="inlineStr">
        <is>
          <t>Kann</t>
        </is>
      </c>
      <c r="H14" s="6" t="inlineStr"/>
      <c r="I14" s="6" t="inlineStr"/>
      <c r="J14" s="6" t="inlineStr">
        <is>
          <t>Offen</t>
        </is>
      </c>
    </row>
    <row r="15">
      <c r="A15" s="7" t="inlineStr">
        <is>
          <t>OP-12</t>
        </is>
      </c>
      <c r="B15" s="7" t="inlineStr">
        <is>
          <t>Fahrt</t>
        </is>
      </c>
      <c r="C15" s="7" t="inlineStr">
        <is>
          <t>Wann kommen Höhensteuerer und Fahrt halten wieder in die Bedienung (FAH-11)?</t>
        </is>
      </c>
      <c r="D15" s="7" t="inlineStr">
        <is>
          <t>Später / gar nicht</t>
        </is>
      </c>
      <c r="E15" s="7" t="inlineStr">
        <is>
          <t>Nutzer</t>
        </is>
      </c>
      <c r="F15" s="7" t="inlineStr">
        <is>
          <t>4</t>
        </is>
      </c>
      <c r="G15" s="7" t="inlineStr">
        <is>
          <t>Kann</t>
        </is>
      </c>
      <c r="H15" s="7" t="inlineStr">
        <is>
          <t>Vorerst ausgeblendet</t>
        </is>
      </c>
      <c r="I15" s="7" t="inlineStr">
        <is>
          <t>14.10.2026</t>
        </is>
      </c>
      <c r="J15" s="7" t="inlineStr">
        <is>
          <t>Zurückgestellt</t>
        </is>
      </c>
    </row>
  </sheetData>
  <autoFilter ref="A3:J15"/>
  <dataValidations count="2">
    <dataValidation sqref="G4:G215" showDropDown="0" showInputMessage="0" showErrorMessage="0" allowBlank="1" type="list">
      <formula1>"Muss,Soll,Kann"</formula1>
    </dataValidation>
    <dataValidation sqref="J4:J215" showDropDown="0" showInputMessage="0" showErrorMessage="0" allowBlank="1" type="list">
      <formula1>"Offen,In Klärung,Entschieden,Zurückgestellt"</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2"/>
  <sheetViews>
    <sheetView workbookViewId="0">
      <pane ySplit="3" topLeftCell="A4" activePane="bottomLeft" state="frozen"/>
      <selection pane="bottomLeft" activeCell="A1" sqref="A1"/>
    </sheetView>
  </sheetViews>
  <sheetFormatPr baseColWidth="8" defaultRowHeight="15"/>
  <cols>
    <col width="28" customWidth="1" min="1" max="1"/>
    <col width="110" customWidth="1" min="2" max="2"/>
  </cols>
  <sheetData>
    <row r="1">
      <c r="A1" s="1" t="inlineStr">
        <is>
          <t>Glossar</t>
        </is>
      </c>
    </row>
    <row r="2">
      <c r="A2" s="4" t="inlineStr">
        <is>
          <t>Begriffe der App und des Plans.</t>
        </is>
      </c>
    </row>
    <row r="3">
      <c r="A3" s="5" t="inlineStr">
        <is>
          <t>Begriff</t>
        </is>
      </c>
      <c r="B3" s="5" t="inlineStr">
        <is>
          <t>Erklärung</t>
        </is>
      </c>
    </row>
    <row r="4">
      <c r="A4" s="6" t="inlineStr">
        <is>
          <t>Starrluftschiff</t>
        </is>
      </c>
      <c r="B4" s="6" t="inlineStr">
        <is>
          <t>Luftschiff mit tragendem Gerüst aus Ringen und Längsträgern; Gas in Zellen, Form unabhängig vom Gasdruck.</t>
        </is>
      </c>
    </row>
    <row r="5">
      <c r="A5" s="7" t="inlineStr">
        <is>
          <t>Halbstarr</t>
        </is>
      </c>
      <c r="B5" s="7" t="inlineStr">
        <is>
          <t>Prallhülle mit tragendem Kiel (z. B. Norge, Zeppelin NT mit Innengerüst).</t>
        </is>
      </c>
    </row>
    <row r="6">
      <c r="A6" s="6" t="inlineStr">
        <is>
          <t>Blimp / Prallluftschiff</t>
        </is>
      </c>
      <c r="B6" s="6" t="inlineStr">
        <is>
          <t>Form wird allein durch Überdruck gehalten; Ballonets gleichen Volumenänderungen aus.</t>
        </is>
      </c>
    </row>
    <row r="7">
      <c r="A7" s="7" t="inlineStr">
        <is>
          <t>Ballonet</t>
        </is>
      </c>
      <c r="B7" s="7" t="inlineStr">
        <is>
          <t>Luftsack in der Hülle, mit dem der Überdruck bei Höhenänderung gehalten wird.</t>
        </is>
      </c>
    </row>
    <row r="8">
      <c r="A8" s="6" t="inlineStr">
        <is>
          <t>Appendix</t>
        </is>
      </c>
      <c r="B8" s="6" t="inlineStr">
        <is>
          <t>Offener Füllschlauch unten an der Hülle; über ihn entweicht Gas beim Steigen (wie beim Gasballon).</t>
        </is>
      </c>
    </row>
    <row r="9">
      <c r="A9" s="7" t="inlineStr">
        <is>
          <t>Prallhöhe</t>
        </is>
      </c>
      <c r="B9" s="7" t="inlineStr">
        <is>
          <t>Höhe, in der das Gas die Hülle bzw. Zellen ganz ausfüllt; darüber geht Gas verloren.</t>
        </is>
      </c>
    </row>
    <row r="10">
      <c r="A10" s="6" t="inlineStr">
        <is>
          <t>Gertler-Form (Series 58)</t>
        </is>
      </c>
      <c r="B10" s="6" t="inlineStr">
        <is>
          <t>Familie von Rumpfformen, beschrieben durch ein Polynom 6. Grades mit L/D, m, Cp, r0, r1.</t>
        </is>
      </c>
    </row>
    <row r="11">
      <c r="A11" s="7" t="inlineStr">
        <is>
          <t>L/D</t>
        </is>
      </c>
      <c r="B11" s="7" t="inlineStr">
        <is>
          <t>Schlankheit: Länge durch größten Durchmesser.</t>
        </is>
      </c>
    </row>
    <row r="12">
      <c r="A12" s="6" t="inlineStr">
        <is>
          <t>m</t>
        </is>
      </c>
      <c r="B12" s="6" t="inlineStr">
        <is>
          <t>Lage des größten Durchmessers, bezogen auf die Länge (von der Nase).</t>
        </is>
      </c>
    </row>
    <row r="13">
      <c r="A13" s="7" t="inlineStr">
        <is>
          <t>Cp</t>
        </is>
      </c>
      <c r="B13" s="7" t="inlineStr">
        <is>
          <t>Völligkeitsgrad: Volumen durch Volumen des umschreibenden Zylinders.</t>
        </is>
      </c>
    </row>
    <row r="14">
      <c r="A14" s="6" t="inlineStr">
        <is>
          <t>r0, r1</t>
        </is>
      </c>
      <c r="B14" s="6" t="inlineStr">
        <is>
          <t>Nasen- und Heckradius, dimensionslos (Radius × L / D²).</t>
        </is>
      </c>
    </row>
    <row r="15">
      <c r="A15" s="7" t="inlineStr">
        <is>
          <t>K (Burgess)</t>
        </is>
      </c>
      <c r="B15" s="7" t="inlineStr">
        <is>
          <t>Gesamtwirkungsgrad aus Rumpfwiderstand und Propeller in der Leistungsgleichung.</t>
        </is>
      </c>
    </row>
    <row r="16">
      <c r="A16" s="6" t="inlineStr">
        <is>
          <t>D (Burgess)</t>
        </is>
      </c>
      <c r="B16" s="6" t="inlineStr">
        <is>
          <t>Masse der vom Luftschiff verdrängten Luft in der Normatmosphäre.</t>
        </is>
      </c>
    </row>
    <row r="17">
      <c r="A17" s="7" t="inlineStr">
        <is>
          <t>Schwer / leicht</t>
        </is>
      </c>
      <c r="B17" s="7" t="inlineStr">
        <is>
          <t>Unterschied zwischen Gewicht und statischem Auftrieb; wird mit dynamischem Auftrieb, Ballast oder Gas ausgeglichen.</t>
        </is>
      </c>
    </row>
    <row r="18">
      <c r="A18" s="6" t="inlineStr">
        <is>
          <t>Dynamischer Auftrieb</t>
        </is>
      </c>
      <c r="B18" s="6" t="inlineStr">
        <is>
          <t>Auftrieb des angeströmten Rumpfes bei Anstellwinkel.</t>
        </is>
      </c>
    </row>
    <row r="19">
      <c r="A19" s="7" t="inlineStr">
        <is>
          <t>LTW</t>
        </is>
      </c>
      <c r="B19" s="7" t="inlineStr">
        <is>
          <t>Leitwerk (Flossen, Seiten- und Höhenruder).</t>
        </is>
      </c>
    </row>
    <row r="20">
      <c r="A20" s="6" t="inlineStr">
        <is>
          <t>Tritax</t>
        </is>
      </c>
      <c r="B20" s="6" t="inlineStr">
        <is>
          <t>Leichte Folie für Hüllen kleiner Modelle, rund 27 g/m².</t>
        </is>
      </c>
    </row>
    <row r="21">
      <c r="A21" s="7" t="inlineStr">
        <is>
          <t>Speicher-Code</t>
        </is>
      </c>
      <c r="B21" s="7" t="inlineStr">
        <is>
          <t>Kurzer Text, der alle Entscheidungen eines Luftschiffs enthält (z. B. „LS1|B:P|G:H2|V:2000|…“).</t>
        </is>
      </c>
    </row>
    <row r="22">
      <c r="A22" s="6" t="inlineStr">
        <is>
          <t>Failsafe</t>
        </is>
      </c>
      <c r="B22" s="6" t="inlineStr">
        <is>
          <t>Selbsttätige Rückkehr oder Landung, wenn eine Grenze erreicht ist (z. B. Restenergie).</t>
        </is>
      </c>
    </row>
  </sheetData>
  <autoFilter ref="A3:B2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5"/>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120" customWidth="1" min="3" max="3"/>
    <col width="10" customWidth="1" min="4" max="4"/>
  </cols>
  <sheetData>
    <row r="1">
      <c r="A1" s="1" t="inlineStr">
        <is>
          <t>Änderungen</t>
        </is>
      </c>
    </row>
    <row r="2">
      <c r="A2" s="4" t="inlineStr">
        <is>
          <t>Versionen dieses Plans.</t>
        </is>
      </c>
    </row>
    <row r="3">
      <c r="A3" s="5" t="inlineStr">
        <is>
          <t>Version</t>
        </is>
      </c>
      <c r="B3" s="5" t="inlineStr">
        <is>
          <t>Datum</t>
        </is>
      </c>
      <c r="C3" s="5" t="inlineStr">
        <is>
          <t>Änderung</t>
        </is>
      </c>
      <c r="D3" s="5" t="inlineStr">
        <is>
          <t>Von</t>
        </is>
      </c>
    </row>
    <row r="4">
      <c r="A4" s="6" t="inlineStr">
        <is>
          <t>0.1</t>
        </is>
      </c>
      <c r="B4" s="6" t="inlineStr">
        <is>
          <t>13.10.2026</t>
        </is>
      </c>
      <c r="C4" s="6" t="inlineStr">
        <is>
          <t>Erste Fassung aus den Vereinbarungen im Chat „Luftschiff_Simulator“: Stichpunkte des Nutzers als Fahrplan der Entscheidungen, feste Auswahl (9 Modelle), Gertler-Formen mit spitzem Heck, Leitwerk vorerst nach Burgess, Vorschläge mit freier Abweichung, Eckdaten immer sichtbar, Speicher-Code, 3D-Vorschau, RC-Blimps und autonome Schiffe, Fahrt mit Assistenten und Missionsplanung, Wetter ruhig/mittel/extrem und historisches Datum, Zeitraffer bis ×1000, Seitenansicht unter 100 m.</t>
        </is>
      </c>
      <c r="D4" s="6" t="inlineStr">
        <is>
          <t>Claude</t>
        </is>
      </c>
    </row>
    <row r="5">
      <c r="A5" s="7" t="inlineStr">
        <is>
          <t>0.2</t>
        </is>
      </c>
      <c r="B5" s="7" t="inlineStr">
        <is>
          <t>14.10.2026</t>
        </is>
      </c>
      <c r="C5" s="7" t="inlineStr">
        <is>
          <t>Anforderungen vom 13./14.10. ergänzt: Motorregel (Paare, ungerade mittig, Motorpaar hintereinander), Lage von Motorgondeln/Tanks/Leitwerk, Leitwerk bis 8 Flossen, Trimm und Trimmwiderstand, Gondel nach Seitenriss mit Cockpitfenstern, Schnittansicht, Gondelleinen 25–75 %, Speicher-Code zukunftssicher, Erbauer; Fahrt: Zeitraffer ×1/Boost/Drosselung, exponentieller Schub, mehrere gespeicherte Fahrten, Ende-Abfrage, minimierbare Konsole, Anzeigen mit Fliegerbegriffen, Beschleunigungsbalken, Vertikalprofil, Fahrtbericht mit Orten, CO₂ und als Bild. Status aller Anforderungen nach Build 2026-10-14.6; offene Punkte OP-01 bis OP-04 entschieden, OP-10 bis OP-12 neu; Modelle nach Festlegung; Tests T-13 bis T-17.</t>
        </is>
      </c>
      <c r="D5" s="7" t="inlineStr">
        <is>
          <t>Claude</t>
        </is>
      </c>
    </row>
  </sheetData>
  <autoFilter ref="A3:D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2026-10-14T10:33:15Z</dcterms:created>
  <dcterms:modified xmlns:dcterms="http://purl.org/dc/terms/" xmlns:xsi="http://www.w3.org/2001/XMLSchema-instance" xsi:type="dcterms:W3CDTF">2026-10-14T10:33:16Z</dcterms:modified>
</cp:coreProperties>
</file>